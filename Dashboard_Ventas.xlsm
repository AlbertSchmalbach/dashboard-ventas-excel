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ESTE\Documents\Personal\Excel\Proyectos\"/>
    </mc:Choice>
  </mc:AlternateContent>
  <xr:revisionPtr revIDLastSave="0" documentId="13_ncr:1_{6C7C44AF-0CCC-48CB-86DC-B22AD3752783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Datos" sheetId="1" r:id="rId1"/>
    <sheet name="Analisis" sheetId="2" r:id="rId2"/>
    <sheet name="Dashboard" sheetId="3" r:id="rId3"/>
  </sheets>
  <definedNames>
    <definedName name="SegmentaciónDeDatos_Ciudad">#N/A</definedName>
    <definedName name="SegmentaciónDeDatos_Producto">#N/A</definedName>
    <definedName name="SegmentaciónDeDatos_Vendedor">#N/A</definedName>
  </definedNames>
  <calcPr calcId="191029"/>
  <pivotCaches>
    <pivotCache cacheId="12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3" l="1"/>
  <c r="I8" i="3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2" i="1"/>
  <c r="G8" i="3"/>
</calcChain>
</file>

<file path=xl/sharedStrings.xml><?xml version="1.0" encoding="utf-8"?>
<sst xmlns="http://schemas.openxmlformats.org/spreadsheetml/2006/main" count="308" uniqueCount="31">
  <si>
    <t>Fecha</t>
  </si>
  <si>
    <t>Producto</t>
  </si>
  <si>
    <t>Vendedor</t>
  </si>
  <si>
    <t>Ciudad</t>
  </si>
  <si>
    <t>Cantidad</t>
  </si>
  <si>
    <t>Precio</t>
  </si>
  <si>
    <t>Laptop</t>
  </si>
  <si>
    <t>Juan</t>
  </si>
  <si>
    <t>Bogotá</t>
  </si>
  <si>
    <t>Mouse</t>
  </si>
  <si>
    <t>Ana</t>
  </si>
  <si>
    <t>Medellín</t>
  </si>
  <si>
    <t>Teclado</t>
  </si>
  <si>
    <t>Carlos</t>
  </si>
  <si>
    <t>Cali</t>
  </si>
  <si>
    <t>Monitor</t>
  </si>
  <si>
    <t>Laura</t>
  </si>
  <si>
    <t>Barranquilla</t>
  </si>
  <si>
    <t>Impresora</t>
  </si>
  <si>
    <t>Pedro</t>
  </si>
  <si>
    <t>Cartagena</t>
  </si>
  <si>
    <t>Total</t>
  </si>
  <si>
    <t>Total general</t>
  </si>
  <si>
    <t>Suma de Total</t>
  </si>
  <si>
    <t>Ventas por producto</t>
  </si>
  <si>
    <t>Ventas por ciudad</t>
  </si>
  <si>
    <t>Ventas por vendedor</t>
  </si>
  <si>
    <t>Dashboard de Ventas</t>
  </si>
  <si>
    <t>📦 Producto +vendido</t>
  </si>
  <si>
    <t>👤 Mejor vendedor</t>
  </si>
  <si>
    <t>💰 Total en ventas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</si>
</sst>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[$$-409]* #,##0.00_ ;_-[$$-409]* \-#,##0.00\ ;_-[$$-409]* &quot;-&quot;??_ ;_-@_ 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5" xfId="0" applyNumberForma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164" fontId="0" fillId="0" borderId="1" xfId="0" applyNumberFormat="1" applyBorder="1" applyAlignment="1">
      <alignment vertical="center" wrapText="1"/>
    </xf>
    <xf numFmtId="164" fontId="0" fillId="0" borderId="6" xfId="0" applyNumberFormat="1" applyBorder="1"/>
    <xf numFmtId="14" fontId="0" fillId="0" borderId="7" xfId="0" applyNumberFormat="1" applyBorder="1" applyAlignment="1">
      <alignment vertical="center" wrapText="1"/>
    </xf>
    <xf numFmtId="0" fontId="0" fillId="0" borderId="8" xfId="0" applyBorder="1" applyAlignment="1">
      <alignment vertical="center" wrapText="1"/>
    </xf>
    <xf numFmtId="164" fontId="0" fillId="0" borderId="8" xfId="0" applyNumberFormat="1" applyBorder="1" applyAlignment="1">
      <alignment vertical="center" wrapText="1"/>
    </xf>
    <xf numFmtId="164" fontId="0" fillId="0" borderId="9" xfId="0" applyNumberFormat="1" applyBorder="1"/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5" fillId="3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5" fillId="5" borderId="3" xfId="0" applyFont="1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pivotButton="1" applyFont="1" applyAlignment="1">
      <alignment horizontal="center" vertical="center"/>
    </xf>
    <xf numFmtId="0" fontId="7" fillId="0" borderId="0" xfId="0" applyFont="1" applyAlignment="1">
      <alignment horizontal="left"/>
    </xf>
    <xf numFmtId="164" fontId="7" fillId="0" borderId="0" xfId="0" applyNumberFormat="1" applyFont="1"/>
    <xf numFmtId="0" fontId="7" fillId="0" borderId="0" xfId="0" applyFont="1"/>
    <xf numFmtId="0" fontId="4" fillId="7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</cellXfs>
  <cellStyles count="1">
    <cellStyle name="Normal" xfId="0" builtinId="0"/>
  </cellStyles>
  <dxfs count="52"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font>
        <b/>
      </font>
    </dxf>
    <dxf>
      <font>
        <b/>
      </font>
    </dxf>
    <dxf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b/>
      </font>
    </dxf>
    <dxf>
      <font>
        <b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64" formatCode="_-[$$-409]* #,##0.00_ ;_-[$$-409]* \-#,##0.00\ ;_-[$$-409]* &quot;-&quot;??_ ;_-@_ "/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[$$-409]* #,##0.00_ ;_-[$$-409]* \-#,##0.00\ ;_-[$$-409]* &quot;-&quot;??_ ;_-@_ 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segmentación de datos 1" pivot="0" table="0" count="0" xr9:uid="{6681078D-19A1-46FD-9164-6912CE029195}"/>
  </tableStyle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calcChain" Target="calcChain.xml"/><Relationship Id="rId5" Type="http://schemas.microsoft.com/office/2007/relationships/slicerCache" Target="slicerCaches/slicerCache1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[Dashboard_Ventas.xlsm]Analisis!TablaDinámica1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s-CO" b="1"/>
              <a:t>Ventas por producto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chemeClr val="accent2"/>
              </a:gs>
              <a:gs pos="100000">
                <a:schemeClr val="accent2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Analisis!$B$4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2"/>
                </a:gs>
                <a:gs pos="100000">
                  <a:schemeClr val="accent2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Analisis!$A$5:$A$10</c:f>
              <c:strCache>
                <c:ptCount val="5"/>
                <c:pt idx="0">
                  <c:v>Laptop</c:v>
                </c:pt>
                <c:pt idx="1">
                  <c:v>Monitor</c:v>
                </c:pt>
                <c:pt idx="2">
                  <c:v>Impresora</c:v>
                </c:pt>
                <c:pt idx="3">
                  <c:v>Teclado</c:v>
                </c:pt>
                <c:pt idx="4">
                  <c:v>Mouse</c:v>
                </c:pt>
              </c:strCache>
            </c:strRef>
          </c:cat>
          <c:val>
            <c:numRef>
              <c:f>Analisis!$B$5:$B$10</c:f>
              <c:numCache>
                <c:formatCode>_-[$$-409]* #,##0.00_ ;_-[$$-409]* \-#,##0.00\ ;_-[$$-409]* "-"??_ ;_-@_ </c:formatCode>
                <c:ptCount val="5"/>
                <c:pt idx="0">
                  <c:v>51450</c:v>
                </c:pt>
                <c:pt idx="1">
                  <c:v>24622</c:v>
                </c:pt>
                <c:pt idx="2">
                  <c:v>6102</c:v>
                </c:pt>
                <c:pt idx="3">
                  <c:v>3687</c:v>
                </c:pt>
                <c:pt idx="4">
                  <c:v>2645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59-48D2-BC07-9265A0559B5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370940911"/>
        <c:axId val="1370950031"/>
      </c:barChart>
      <c:catAx>
        <c:axId val="1370940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70950031"/>
        <c:crosses val="autoZero"/>
        <c:auto val="1"/>
        <c:lblAlgn val="ctr"/>
        <c:lblOffset val="100"/>
        <c:noMultiLvlLbl val="0"/>
      </c:catAx>
      <c:valAx>
        <c:axId val="1370950031"/>
        <c:scaling>
          <c:orientation val="minMax"/>
        </c:scaling>
        <c:delete val="1"/>
        <c:axPos val="l"/>
        <c:numFmt formatCode="_-[$$-409]* #,##0.00_ ;_-[$$-409]* \-#,##0.00\ ;_-[$$-409]* &quot;-&quot;??_ ;_-@_ " sourceLinked="1"/>
        <c:majorTickMark val="none"/>
        <c:minorTickMark val="none"/>
        <c:tickLblPos val="nextTo"/>
        <c:crossAx val="1370940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[Dashboard_Ventas.xlsm]Analisis!TablaDinámica2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s-CO" b="1"/>
              <a:t>Ventas por ciudad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chemeClr val="accent4"/>
              </a:gs>
              <a:gs pos="100000">
                <a:schemeClr val="accent4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Analisis!$E$4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Analisis!$D$5:$D$10</c:f>
              <c:strCache>
                <c:ptCount val="5"/>
                <c:pt idx="0">
                  <c:v>Cali</c:v>
                </c:pt>
                <c:pt idx="1">
                  <c:v>Bogotá</c:v>
                </c:pt>
                <c:pt idx="2">
                  <c:v>Medellín</c:v>
                </c:pt>
                <c:pt idx="3">
                  <c:v>Cartagena</c:v>
                </c:pt>
                <c:pt idx="4">
                  <c:v>Barranquilla</c:v>
                </c:pt>
              </c:strCache>
            </c:strRef>
          </c:cat>
          <c:val>
            <c:numRef>
              <c:f>Analisis!$E$5:$E$10</c:f>
              <c:numCache>
                <c:formatCode>_-[$$-409]* #,##0.00_ ;_-[$$-409]* \-#,##0.00\ ;_-[$$-409]* "-"??_ ;_-@_ </c:formatCode>
                <c:ptCount val="5"/>
                <c:pt idx="0">
                  <c:v>27475</c:v>
                </c:pt>
                <c:pt idx="1">
                  <c:v>22846</c:v>
                </c:pt>
                <c:pt idx="2">
                  <c:v>20300</c:v>
                </c:pt>
                <c:pt idx="3">
                  <c:v>14703</c:v>
                </c:pt>
                <c:pt idx="4">
                  <c:v>3182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66-4C73-AAC4-44AF869DAE8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370945711"/>
        <c:axId val="1370935631"/>
      </c:barChart>
      <c:catAx>
        <c:axId val="1370945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70935631"/>
        <c:crosses val="autoZero"/>
        <c:auto val="1"/>
        <c:lblAlgn val="ctr"/>
        <c:lblOffset val="100"/>
        <c:noMultiLvlLbl val="0"/>
      </c:catAx>
      <c:valAx>
        <c:axId val="1370935631"/>
        <c:scaling>
          <c:orientation val="minMax"/>
        </c:scaling>
        <c:delete val="1"/>
        <c:axPos val="l"/>
        <c:numFmt formatCode="_-[$$-409]* #,##0.00_ ;_-[$$-409]* \-#,##0.00\ ;_-[$$-409]* &quot;-&quot;??_ ;_-@_ " sourceLinked="1"/>
        <c:majorTickMark val="none"/>
        <c:minorTickMark val="none"/>
        <c:tickLblPos val="nextTo"/>
        <c:crossAx val="1370945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[Dashboard_Ventas.xlsm]Analisis!TablaDinámica3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s-CO" b="1"/>
              <a:t>Ventas por vendedor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chemeClr val="accent6"/>
              </a:gs>
              <a:gs pos="100000">
                <a:schemeClr val="accent6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Analisis!$H$4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6"/>
                </a:gs>
                <a:gs pos="100000">
                  <a:schemeClr val="accent6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Analisis!$G$5:$G$10</c:f>
              <c:strCache>
                <c:ptCount val="5"/>
                <c:pt idx="0">
                  <c:v>Juan</c:v>
                </c:pt>
                <c:pt idx="1">
                  <c:v>Ana</c:v>
                </c:pt>
                <c:pt idx="2">
                  <c:v>Laura</c:v>
                </c:pt>
                <c:pt idx="3">
                  <c:v>Carlos</c:v>
                </c:pt>
                <c:pt idx="4">
                  <c:v>Pedro</c:v>
                </c:pt>
              </c:strCache>
            </c:strRef>
          </c:cat>
          <c:val>
            <c:numRef>
              <c:f>Analisis!$H$5:$H$10</c:f>
              <c:numCache>
                <c:formatCode>_-[$$-409]* #,##0.00_ ;_-[$$-409]* \-#,##0.00\ ;_-[$$-409]* "-"??_ ;_-@_ </c:formatCode>
                <c:ptCount val="5"/>
                <c:pt idx="0">
                  <c:v>27650</c:v>
                </c:pt>
                <c:pt idx="1">
                  <c:v>26445</c:v>
                </c:pt>
                <c:pt idx="2">
                  <c:v>21589</c:v>
                </c:pt>
                <c:pt idx="3">
                  <c:v>6720</c:v>
                </c:pt>
                <c:pt idx="4">
                  <c:v>6102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CB-4926-9A19-0D1CBC03C46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370940431"/>
        <c:axId val="1370947631"/>
      </c:barChart>
      <c:catAx>
        <c:axId val="1370940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70947631"/>
        <c:crosses val="autoZero"/>
        <c:auto val="1"/>
        <c:lblAlgn val="ctr"/>
        <c:lblOffset val="100"/>
        <c:noMultiLvlLbl val="0"/>
      </c:catAx>
      <c:valAx>
        <c:axId val="1370947631"/>
        <c:scaling>
          <c:orientation val="minMax"/>
        </c:scaling>
        <c:delete val="1"/>
        <c:axPos val="l"/>
        <c:numFmt formatCode="_-[$$-409]* #,##0.00_ ;_-[$$-409]* \-#,##0.00\ ;_-[$$-409]* &quot;-&quot;??_ ;_-@_ " sourceLinked="1"/>
        <c:majorTickMark val="none"/>
        <c:minorTickMark val="none"/>
        <c:tickLblPos val="nextTo"/>
        <c:crossAx val="1370940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9</xdr:row>
      <xdr:rowOff>7800</xdr:rowOff>
    </xdr:from>
    <xdr:to>
      <xdr:col>5</xdr:col>
      <xdr:colOff>158550</xdr:colOff>
      <xdr:row>20</xdr:row>
      <xdr:rowOff>72300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2F135232-87A7-8365-D67D-9AEC53F7DA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171450</xdr:colOff>
      <xdr:row>9</xdr:row>
      <xdr:rowOff>9525</xdr:rowOff>
    </xdr:from>
    <xdr:to>
      <xdr:col>9</xdr:col>
      <xdr:colOff>433800</xdr:colOff>
      <xdr:row>20</xdr:row>
      <xdr:rowOff>74025</xdr:rowOff>
    </xdr:to>
    <xdr:graphicFrame macro="">
      <xdr:nvGraphicFramePr>
        <xdr:cNvPr id="4" name="Gráfico 2">
          <a:extLst>
            <a:ext uri="{FF2B5EF4-FFF2-40B4-BE49-F238E27FC236}">
              <a16:creationId xmlns:a16="http://schemas.microsoft.com/office/drawing/2014/main" id="{E22EE93E-361F-B055-B9FE-3DC84A1182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438148</xdr:colOff>
      <xdr:row>8</xdr:row>
      <xdr:rowOff>184575</xdr:rowOff>
    </xdr:from>
    <xdr:to>
      <xdr:col>13</xdr:col>
      <xdr:colOff>85725</xdr:colOff>
      <xdr:row>20</xdr:row>
      <xdr:rowOff>58575</xdr:rowOff>
    </xdr:to>
    <xdr:graphicFrame macro="">
      <xdr:nvGraphicFramePr>
        <xdr:cNvPr id="5" name="Gráfico 3">
          <a:extLst>
            <a:ext uri="{FF2B5EF4-FFF2-40B4-BE49-F238E27FC236}">
              <a16:creationId xmlns:a16="http://schemas.microsoft.com/office/drawing/2014/main" id="{ABEABF95-2385-9D2B-2892-721C7C2FEE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228600</xdr:colOff>
      <xdr:row>20</xdr:row>
      <xdr:rowOff>133350</xdr:rowOff>
    </xdr:from>
    <xdr:to>
      <xdr:col>9</xdr:col>
      <xdr:colOff>1095375</xdr:colOff>
      <xdr:row>24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iudad">
              <a:extLst>
                <a:ext uri="{FF2B5EF4-FFF2-40B4-BE49-F238E27FC236}">
                  <a16:creationId xmlns:a16="http://schemas.microsoft.com/office/drawing/2014/main" id="{3C844499-CC0B-47E8-960B-23713628D6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u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4219575"/>
              <a:ext cx="4924425" cy="733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0</xdr:colOff>
      <xdr:row>20</xdr:row>
      <xdr:rowOff>123825</xdr:rowOff>
    </xdr:from>
    <xdr:to>
      <xdr:col>13</xdr:col>
      <xdr:colOff>85725</xdr:colOff>
      <xdr:row>24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Vendedor">
              <a:extLst>
                <a:ext uri="{FF2B5EF4-FFF2-40B4-BE49-F238E27FC236}">
                  <a16:creationId xmlns:a16="http://schemas.microsoft.com/office/drawing/2014/main" id="{D1593073-DE67-47C5-BE45-4C18228C05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82100" y="4210050"/>
              <a:ext cx="3343275" cy="723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20</xdr:row>
      <xdr:rowOff>133350</xdr:rowOff>
    </xdr:from>
    <xdr:to>
      <xdr:col>5</xdr:col>
      <xdr:colOff>220878</xdr:colOff>
      <xdr:row>24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Producto">
              <a:extLst>
                <a:ext uri="{FF2B5EF4-FFF2-40B4-BE49-F238E27FC236}">
                  <a16:creationId xmlns:a16="http://schemas.microsoft.com/office/drawing/2014/main" id="{E34825F3-44CD-46F8-8D8B-4D705B4FCC2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4219575"/>
              <a:ext cx="4202328" cy="742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85725</xdr:rowOff>
        </xdr:from>
        <xdr:to>
          <xdr:col>2</xdr:col>
          <xdr:colOff>381000</xdr:colOff>
          <xdr:row>6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_OESTE" refreshedDate="46132.662420023145" createdVersion="8" refreshedVersion="8" minRefreshableVersion="3" recordCount="90" xr:uid="{C6C65AC6-B606-405D-A77E-C084FA1FAC41}">
  <cacheSource type="worksheet">
    <worksheetSource name="productos"/>
  </cacheSource>
  <cacheFields count="7">
    <cacheField name="Fecha" numFmtId="14">
      <sharedItems containsSemiMixedTypes="0" containsNonDate="0" containsDate="1" containsString="0" minDate="2025-01-01T00:00:00" maxDate="2025-04-01T00:00:00"/>
    </cacheField>
    <cacheField name="Producto" numFmtId="0">
      <sharedItems count="5">
        <s v="Laptop"/>
        <s v="Mouse"/>
        <s v="Teclado"/>
        <s v="Monitor"/>
        <s v="Impresora"/>
      </sharedItems>
    </cacheField>
    <cacheField name="Vendedor" numFmtId="0">
      <sharedItems count="5">
        <s v="Juan"/>
        <s v="Ana"/>
        <s v="Carlos"/>
        <s v="Laura"/>
        <s v="Pedro"/>
      </sharedItems>
    </cacheField>
    <cacheField name="Ciudad" numFmtId="0">
      <sharedItems count="5">
        <s v="Bogotá"/>
        <s v="Medellín"/>
        <s v="Cali"/>
        <s v="Barranquilla"/>
        <s v="Cartagena"/>
      </sharedItems>
    </cacheField>
    <cacheField name="Cantidad" numFmtId="0">
      <sharedItems containsSemiMixedTypes="0" containsString="0" containsNumber="1" containsInteger="1" minValue="1" maxValue="20"/>
    </cacheField>
    <cacheField name="Precio" numFmtId="164">
      <sharedItems containsSemiMixedTypes="0" containsString="0" containsNumber="1" containsInteger="1" minValue="18" maxValue="1590"/>
    </cacheField>
    <cacheField name="Total" numFmtId="164">
      <sharedItems containsSemiMixedTypes="0" containsString="0" containsNumber="1" containsInteger="1" minValue="88" maxValue="12400"/>
    </cacheField>
  </cacheFields>
  <extLst>
    <ext xmlns:x14="http://schemas.microsoft.com/office/spreadsheetml/2009/9/main" uri="{725AE2AE-9491-48be-B2B4-4EB974FC3084}">
      <x14:pivotCacheDefinition pivotCacheId="117346107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d v="2025-01-01T00:00:00"/>
    <x v="0"/>
    <x v="0"/>
    <x v="0"/>
    <n v="2"/>
    <n v="1500"/>
    <n v="3000"/>
  </r>
  <r>
    <d v="2025-01-02T00:00:00"/>
    <x v="1"/>
    <x v="1"/>
    <x v="1"/>
    <n v="5"/>
    <n v="20"/>
    <n v="100"/>
  </r>
  <r>
    <d v="2025-01-03T00:00:00"/>
    <x v="2"/>
    <x v="2"/>
    <x v="2"/>
    <n v="3"/>
    <n v="45"/>
    <n v="135"/>
  </r>
  <r>
    <d v="2025-01-04T00:00:00"/>
    <x v="3"/>
    <x v="3"/>
    <x v="3"/>
    <n v="1"/>
    <n v="300"/>
    <n v="300"/>
  </r>
  <r>
    <d v="2025-01-05T00:00:00"/>
    <x v="4"/>
    <x v="4"/>
    <x v="4"/>
    <n v="2"/>
    <n v="250"/>
    <n v="500"/>
  </r>
  <r>
    <d v="2025-01-06T00:00:00"/>
    <x v="0"/>
    <x v="1"/>
    <x v="0"/>
    <n v="1"/>
    <n v="1400"/>
    <n v="1400"/>
  </r>
  <r>
    <d v="2025-01-07T00:00:00"/>
    <x v="1"/>
    <x v="0"/>
    <x v="2"/>
    <n v="10"/>
    <n v="18"/>
    <n v="180"/>
  </r>
  <r>
    <d v="2025-01-08T00:00:00"/>
    <x v="2"/>
    <x v="3"/>
    <x v="1"/>
    <n v="4"/>
    <n v="50"/>
    <n v="200"/>
  </r>
  <r>
    <d v="2025-01-09T00:00:00"/>
    <x v="3"/>
    <x v="2"/>
    <x v="0"/>
    <n v="5"/>
    <n v="320"/>
    <n v="1600"/>
  </r>
  <r>
    <d v="2025-01-10T00:00:00"/>
    <x v="4"/>
    <x v="4"/>
    <x v="2"/>
    <n v="1"/>
    <n v="260"/>
    <n v="260"/>
  </r>
  <r>
    <d v="2025-01-11T00:00:00"/>
    <x v="0"/>
    <x v="0"/>
    <x v="1"/>
    <n v="8"/>
    <n v="1550"/>
    <n v="12400"/>
  </r>
  <r>
    <d v="2025-01-12T00:00:00"/>
    <x v="1"/>
    <x v="1"/>
    <x v="3"/>
    <n v="6"/>
    <n v="22"/>
    <n v="132"/>
  </r>
  <r>
    <d v="2025-01-13T00:00:00"/>
    <x v="2"/>
    <x v="2"/>
    <x v="4"/>
    <n v="5"/>
    <n v="42"/>
    <n v="210"/>
  </r>
  <r>
    <d v="2025-01-14T00:00:00"/>
    <x v="3"/>
    <x v="3"/>
    <x v="2"/>
    <n v="3"/>
    <n v="310"/>
    <n v="930"/>
  </r>
  <r>
    <d v="2025-01-15T00:00:00"/>
    <x v="4"/>
    <x v="4"/>
    <x v="0"/>
    <n v="1"/>
    <n v="255"/>
    <n v="255"/>
  </r>
  <r>
    <d v="2025-01-16T00:00:00"/>
    <x v="0"/>
    <x v="1"/>
    <x v="2"/>
    <n v="2"/>
    <n v="1450"/>
    <n v="2900"/>
  </r>
  <r>
    <d v="2025-01-17T00:00:00"/>
    <x v="1"/>
    <x v="0"/>
    <x v="0"/>
    <n v="8"/>
    <n v="19"/>
    <n v="152"/>
  </r>
  <r>
    <d v="2025-01-18T00:00:00"/>
    <x v="2"/>
    <x v="3"/>
    <x v="1"/>
    <n v="5"/>
    <n v="47"/>
    <n v="235"/>
  </r>
  <r>
    <d v="2025-01-19T00:00:00"/>
    <x v="3"/>
    <x v="2"/>
    <x v="3"/>
    <n v="1"/>
    <n v="330"/>
    <n v="330"/>
  </r>
  <r>
    <d v="2025-01-20T00:00:00"/>
    <x v="4"/>
    <x v="4"/>
    <x v="4"/>
    <n v="2"/>
    <n v="270"/>
    <n v="540"/>
  </r>
  <r>
    <d v="2025-01-21T00:00:00"/>
    <x v="0"/>
    <x v="0"/>
    <x v="2"/>
    <n v="1"/>
    <n v="1500"/>
    <n v="1500"/>
  </r>
  <r>
    <d v="2025-01-22T00:00:00"/>
    <x v="1"/>
    <x v="1"/>
    <x v="0"/>
    <n v="12"/>
    <n v="21"/>
    <n v="252"/>
  </r>
  <r>
    <d v="2025-01-23T00:00:00"/>
    <x v="2"/>
    <x v="2"/>
    <x v="1"/>
    <n v="3"/>
    <n v="49"/>
    <n v="147"/>
  </r>
  <r>
    <d v="2025-01-24T00:00:00"/>
    <x v="3"/>
    <x v="3"/>
    <x v="4"/>
    <n v="2"/>
    <n v="305"/>
    <n v="610"/>
  </r>
  <r>
    <d v="2025-01-25T00:00:00"/>
    <x v="4"/>
    <x v="4"/>
    <x v="3"/>
    <n v="1"/>
    <n v="265"/>
    <n v="265"/>
  </r>
  <r>
    <d v="2025-01-26T00:00:00"/>
    <x v="0"/>
    <x v="1"/>
    <x v="0"/>
    <n v="2"/>
    <n v="1500"/>
    <n v="3000"/>
  </r>
  <r>
    <d v="2025-01-27T00:00:00"/>
    <x v="1"/>
    <x v="0"/>
    <x v="2"/>
    <n v="9"/>
    <n v="20"/>
    <n v="180"/>
  </r>
  <r>
    <d v="2025-01-28T00:00:00"/>
    <x v="2"/>
    <x v="3"/>
    <x v="1"/>
    <n v="8"/>
    <n v="46"/>
    <n v="368"/>
  </r>
  <r>
    <d v="2025-01-29T00:00:00"/>
    <x v="3"/>
    <x v="2"/>
    <x v="0"/>
    <n v="2"/>
    <n v="315"/>
    <n v="630"/>
  </r>
  <r>
    <d v="2025-01-30T00:00:00"/>
    <x v="4"/>
    <x v="4"/>
    <x v="2"/>
    <n v="1"/>
    <n v="250"/>
    <n v="250"/>
  </r>
  <r>
    <d v="2025-01-31T00:00:00"/>
    <x v="0"/>
    <x v="0"/>
    <x v="1"/>
    <n v="1"/>
    <n v="1580"/>
    <n v="1580"/>
  </r>
  <r>
    <d v="2025-02-01T00:00:00"/>
    <x v="1"/>
    <x v="1"/>
    <x v="3"/>
    <n v="5"/>
    <n v="23"/>
    <n v="115"/>
  </r>
  <r>
    <d v="2025-02-02T00:00:00"/>
    <x v="2"/>
    <x v="2"/>
    <x v="4"/>
    <n v="2"/>
    <n v="44"/>
    <n v="88"/>
  </r>
  <r>
    <d v="2025-02-03T00:00:00"/>
    <x v="3"/>
    <x v="3"/>
    <x v="2"/>
    <n v="10"/>
    <n v="300"/>
    <n v="3000"/>
  </r>
  <r>
    <d v="2025-02-04T00:00:00"/>
    <x v="4"/>
    <x v="4"/>
    <x v="0"/>
    <n v="1"/>
    <n v="260"/>
    <n v="260"/>
  </r>
  <r>
    <d v="2025-02-05T00:00:00"/>
    <x v="0"/>
    <x v="1"/>
    <x v="2"/>
    <n v="2"/>
    <n v="1490"/>
    <n v="2980"/>
  </r>
  <r>
    <d v="2025-02-06T00:00:00"/>
    <x v="1"/>
    <x v="0"/>
    <x v="0"/>
    <n v="8"/>
    <n v="18"/>
    <n v="144"/>
  </r>
  <r>
    <d v="2025-02-07T00:00:00"/>
    <x v="2"/>
    <x v="3"/>
    <x v="1"/>
    <n v="5"/>
    <n v="45"/>
    <n v="225"/>
  </r>
  <r>
    <d v="2025-02-08T00:00:00"/>
    <x v="3"/>
    <x v="2"/>
    <x v="3"/>
    <n v="1"/>
    <n v="335"/>
    <n v="335"/>
  </r>
  <r>
    <d v="2025-02-09T00:00:00"/>
    <x v="4"/>
    <x v="4"/>
    <x v="4"/>
    <n v="2"/>
    <n v="275"/>
    <n v="550"/>
  </r>
  <r>
    <d v="2025-02-10T00:00:00"/>
    <x v="0"/>
    <x v="0"/>
    <x v="2"/>
    <n v="1"/>
    <n v="1510"/>
    <n v="1510"/>
  </r>
  <r>
    <d v="2025-02-11T00:00:00"/>
    <x v="1"/>
    <x v="1"/>
    <x v="0"/>
    <n v="6"/>
    <n v="22"/>
    <n v="132"/>
  </r>
  <r>
    <d v="2025-02-12T00:00:00"/>
    <x v="2"/>
    <x v="2"/>
    <x v="1"/>
    <n v="3"/>
    <n v="47"/>
    <n v="141"/>
  </r>
  <r>
    <d v="2025-02-13T00:00:00"/>
    <x v="3"/>
    <x v="3"/>
    <x v="4"/>
    <n v="20"/>
    <n v="310"/>
    <n v="6200"/>
  </r>
  <r>
    <d v="2025-02-14T00:00:00"/>
    <x v="4"/>
    <x v="4"/>
    <x v="3"/>
    <n v="1"/>
    <n v="268"/>
    <n v="268"/>
  </r>
  <r>
    <d v="2025-02-15T00:00:00"/>
    <x v="0"/>
    <x v="1"/>
    <x v="0"/>
    <n v="2"/>
    <n v="1500"/>
    <n v="3000"/>
  </r>
  <r>
    <d v="2025-02-16T00:00:00"/>
    <x v="1"/>
    <x v="0"/>
    <x v="2"/>
    <n v="9"/>
    <n v="19"/>
    <n v="171"/>
  </r>
  <r>
    <d v="2025-02-17T00:00:00"/>
    <x v="2"/>
    <x v="3"/>
    <x v="1"/>
    <n v="4"/>
    <n v="46"/>
    <n v="184"/>
  </r>
  <r>
    <d v="2025-02-18T00:00:00"/>
    <x v="3"/>
    <x v="2"/>
    <x v="0"/>
    <n v="2"/>
    <n v="320"/>
    <n v="640"/>
  </r>
  <r>
    <d v="2025-02-19T00:00:00"/>
    <x v="4"/>
    <x v="4"/>
    <x v="2"/>
    <n v="1"/>
    <n v="255"/>
    <n v="255"/>
  </r>
  <r>
    <d v="2025-02-20T00:00:00"/>
    <x v="0"/>
    <x v="0"/>
    <x v="1"/>
    <n v="1"/>
    <n v="1570"/>
    <n v="1570"/>
  </r>
  <r>
    <d v="2025-02-21T00:00:00"/>
    <x v="1"/>
    <x v="1"/>
    <x v="3"/>
    <n v="5"/>
    <n v="21"/>
    <n v="105"/>
  </r>
  <r>
    <d v="2025-02-22T00:00:00"/>
    <x v="2"/>
    <x v="2"/>
    <x v="4"/>
    <n v="2"/>
    <n v="48"/>
    <n v="96"/>
  </r>
  <r>
    <d v="2025-02-23T00:00:00"/>
    <x v="3"/>
    <x v="3"/>
    <x v="2"/>
    <n v="8"/>
    <n v="305"/>
    <n v="2440"/>
  </r>
  <r>
    <d v="2025-02-24T00:00:00"/>
    <x v="4"/>
    <x v="4"/>
    <x v="0"/>
    <n v="1"/>
    <n v="262"/>
    <n v="262"/>
  </r>
  <r>
    <d v="2025-02-25T00:00:00"/>
    <x v="0"/>
    <x v="1"/>
    <x v="2"/>
    <n v="2"/>
    <n v="1480"/>
    <n v="2960"/>
  </r>
  <r>
    <d v="2025-02-26T00:00:00"/>
    <x v="1"/>
    <x v="0"/>
    <x v="0"/>
    <n v="7"/>
    <n v="20"/>
    <n v="140"/>
  </r>
  <r>
    <d v="2025-02-27T00:00:00"/>
    <x v="2"/>
    <x v="3"/>
    <x v="1"/>
    <n v="5"/>
    <n v="45"/>
    <n v="225"/>
  </r>
  <r>
    <d v="2025-02-28T00:00:00"/>
    <x v="3"/>
    <x v="2"/>
    <x v="3"/>
    <n v="1"/>
    <n v="340"/>
    <n v="340"/>
  </r>
  <r>
    <d v="2025-03-01T00:00:00"/>
    <x v="4"/>
    <x v="4"/>
    <x v="4"/>
    <n v="2"/>
    <n v="278"/>
    <n v="556"/>
  </r>
  <r>
    <d v="2025-03-02T00:00:00"/>
    <x v="0"/>
    <x v="0"/>
    <x v="2"/>
    <n v="1"/>
    <n v="1530"/>
    <n v="1530"/>
  </r>
  <r>
    <d v="2025-03-03T00:00:00"/>
    <x v="1"/>
    <x v="1"/>
    <x v="0"/>
    <n v="6"/>
    <n v="22"/>
    <n v="132"/>
  </r>
  <r>
    <d v="2025-03-04T00:00:00"/>
    <x v="2"/>
    <x v="2"/>
    <x v="1"/>
    <n v="3"/>
    <n v="47"/>
    <n v="141"/>
  </r>
  <r>
    <d v="2025-03-05T00:00:00"/>
    <x v="3"/>
    <x v="3"/>
    <x v="4"/>
    <n v="10"/>
    <n v="312"/>
    <n v="3120"/>
  </r>
  <r>
    <d v="2025-03-06T00:00:00"/>
    <x v="4"/>
    <x v="4"/>
    <x v="3"/>
    <n v="1"/>
    <n v="269"/>
    <n v="269"/>
  </r>
  <r>
    <d v="2025-03-07T00:00:00"/>
    <x v="0"/>
    <x v="1"/>
    <x v="0"/>
    <n v="2"/>
    <n v="1500"/>
    <n v="3000"/>
  </r>
  <r>
    <d v="2025-03-08T00:00:00"/>
    <x v="1"/>
    <x v="0"/>
    <x v="2"/>
    <n v="8"/>
    <n v="19"/>
    <n v="152"/>
  </r>
  <r>
    <d v="2025-03-09T00:00:00"/>
    <x v="2"/>
    <x v="3"/>
    <x v="1"/>
    <n v="8"/>
    <n v="46"/>
    <n v="368"/>
  </r>
  <r>
    <d v="2025-03-10T00:00:00"/>
    <x v="3"/>
    <x v="2"/>
    <x v="0"/>
    <n v="2"/>
    <n v="325"/>
    <n v="650"/>
  </r>
  <r>
    <d v="2025-03-11T00:00:00"/>
    <x v="4"/>
    <x v="4"/>
    <x v="2"/>
    <n v="1"/>
    <n v="257"/>
    <n v="257"/>
  </r>
  <r>
    <d v="2025-03-12T00:00:00"/>
    <x v="0"/>
    <x v="0"/>
    <x v="1"/>
    <n v="1"/>
    <n v="1590"/>
    <n v="1590"/>
  </r>
  <r>
    <d v="2025-03-13T00:00:00"/>
    <x v="1"/>
    <x v="1"/>
    <x v="3"/>
    <n v="5"/>
    <n v="23"/>
    <n v="115"/>
  </r>
  <r>
    <d v="2025-03-14T00:00:00"/>
    <x v="2"/>
    <x v="2"/>
    <x v="4"/>
    <n v="2"/>
    <n v="49"/>
    <n v="98"/>
  </r>
  <r>
    <d v="2025-03-15T00:00:00"/>
    <x v="3"/>
    <x v="3"/>
    <x v="2"/>
    <n v="3"/>
    <n v="308"/>
    <n v="924"/>
  </r>
  <r>
    <d v="2025-03-16T00:00:00"/>
    <x v="4"/>
    <x v="4"/>
    <x v="0"/>
    <n v="1"/>
    <n v="265"/>
    <n v="265"/>
  </r>
  <r>
    <d v="2025-03-17T00:00:00"/>
    <x v="0"/>
    <x v="1"/>
    <x v="2"/>
    <n v="2"/>
    <n v="1495"/>
    <n v="2990"/>
  </r>
  <r>
    <d v="2025-03-18T00:00:00"/>
    <x v="1"/>
    <x v="0"/>
    <x v="0"/>
    <n v="7"/>
    <n v="20"/>
    <n v="140"/>
  </r>
  <r>
    <d v="2025-03-19T00:00:00"/>
    <x v="2"/>
    <x v="3"/>
    <x v="1"/>
    <n v="5"/>
    <n v="45"/>
    <n v="225"/>
  </r>
  <r>
    <d v="2025-03-20T00:00:00"/>
    <x v="3"/>
    <x v="2"/>
    <x v="3"/>
    <n v="1"/>
    <n v="338"/>
    <n v="338"/>
  </r>
  <r>
    <d v="2025-03-21T00:00:00"/>
    <x v="4"/>
    <x v="4"/>
    <x v="4"/>
    <n v="2"/>
    <n v="280"/>
    <n v="560"/>
  </r>
  <r>
    <d v="2025-03-22T00:00:00"/>
    <x v="0"/>
    <x v="0"/>
    <x v="2"/>
    <n v="1"/>
    <n v="1540"/>
    <n v="1540"/>
  </r>
  <r>
    <d v="2025-03-23T00:00:00"/>
    <x v="1"/>
    <x v="1"/>
    <x v="0"/>
    <n v="6"/>
    <n v="22"/>
    <n v="132"/>
  </r>
  <r>
    <d v="2025-03-24T00:00:00"/>
    <x v="2"/>
    <x v="2"/>
    <x v="1"/>
    <n v="3"/>
    <n v="47"/>
    <n v="141"/>
  </r>
  <r>
    <d v="2025-03-25T00:00:00"/>
    <x v="3"/>
    <x v="3"/>
    <x v="4"/>
    <n v="5"/>
    <n v="315"/>
    <n v="1575"/>
  </r>
  <r>
    <d v="2025-03-26T00:00:00"/>
    <x v="4"/>
    <x v="4"/>
    <x v="3"/>
    <n v="1"/>
    <n v="270"/>
    <n v="270"/>
  </r>
  <r>
    <d v="2025-03-27T00:00:00"/>
    <x v="0"/>
    <x v="1"/>
    <x v="0"/>
    <n v="2"/>
    <n v="1500"/>
    <n v="3000"/>
  </r>
  <r>
    <d v="2025-03-28T00:00:00"/>
    <x v="1"/>
    <x v="0"/>
    <x v="2"/>
    <n v="9"/>
    <n v="19"/>
    <n v="171"/>
  </r>
  <r>
    <d v="2025-03-29T00:00:00"/>
    <x v="2"/>
    <x v="3"/>
    <x v="1"/>
    <n v="10"/>
    <n v="46"/>
    <n v="460"/>
  </r>
  <r>
    <d v="2025-03-30T00:00:00"/>
    <x v="3"/>
    <x v="2"/>
    <x v="0"/>
    <n v="2"/>
    <n v="330"/>
    <n v="660"/>
  </r>
  <r>
    <d v="2025-03-31T00:00:00"/>
    <x v="4"/>
    <x v="4"/>
    <x v="2"/>
    <n v="1"/>
    <n v="260"/>
    <n v="2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E9B188-2F69-429C-A24F-3C67402B14E6}" name="TablaDinámica3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 rowHeaderCaption="Vendedor">
  <location ref="G4:H10" firstHeaderRow="1" firstDataRow="1" firstDataCol="1"/>
  <pivotFields count="7">
    <pivotField numFmtId="14" showAll="0"/>
    <pivotField showAll="0"/>
    <pivotField axis="axisRow" showAll="0" sortType="descending">
      <items count="6">
        <item x="1"/>
        <item x="2"/>
        <item x="0"/>
        <item x="3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</pivotFields>
  <rowFields count="1">
    <field x="2"/>
  </rowFields>
  <rowItems count="6">
    <i>
      <x v="2"/>
    </i>
    <i>
      <x/>
    </i>
    <i>
      <x v="3"/>
    </i>
    <i>
      <x v="1"/>
    </i>
    <i>
      <x v="4"/>
    </i>
    <i t="grand">
      <x/>
    </i>
  </rowItems>
  <colItems count="1">
    <i/>
  </colItems>
  <dataFields count="1">
    <dataField name="Suma de Total" fld="6" baseField="0" baseItem="0" numFmtId="164"/>
  </dataFields>
  <formats count="14">
    <format dxfId="13">
      <pivotArea collapsedLevelsAreSubtotals="1" fieldPosition="0">
        <references count="1">
          <reference field="2" count="1">
            <x v="0"/>
          </reference>
        </references>
      </pivotArea>
    </format>
    <format dxfId="12">
      <pivotArea outline="0" collapsedLevelsAreSubtotals="1" fieldPosition="0"/>
    </format>
    <format dxfId="11">
      <pivotArea field="2" type="button" dataOnly="0" labelOnly="1" outline="0" axis="axisRow" fieldPosition="0"/>
    </format>
    <format dxfId="10">
      <pivotArea dataOnly="0" labelOnly="1" outline="0" axis="axisValues" fieldPosition="0"/>
    </format>
    <format dxfId="9">
      <pivotArea field="2" type="button" dataOnly="0" labelOnly="1" outline="0" axis="axisRow" fieldPosition="0"/>
    </format>
    <format dxfId="8">
      <pivotArea dataOnly="0" labelOnly="1" outline="0" axis="axisValues" fieldPosition="0"/>
    </format>
    <format dxfId="7">
      <pivotArea field="2" type="button" dataOnly="0" labelOnly="1" outline="0" axis="axisRow" fieldPosition="0"/>
    </format>
    <format dxfId="6">
      <pivotArea dataOnly="0" labelOnly="1" outline="0" axis="axisValues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2" type="button" dataOnly="0" labelOnly="1" outline="0" axis="axisRow" fieldPosition="0"/>
    </format>
    <format dxfId="2">
      <pivotArea dataOnly="0" labelOnly="1" fieldPosition="0">
        <references count="1">
          <reference field="2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1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1F748F-4E5C-44E7-9149-1A8C2363C5B2}" name="TablaDinámica2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Ciudad">
  <location ref="D4:E10" firstHeaderRow="1" firstDataRow="1" firstDataCol="1"/>
  <pivotFields count="7">
    <pivotField numFmtId="14" showAll="0"/>
    <pivotField showAll="0"/>
    <pivotField showAll="0"/>
    <pivotField axis="axisRow" showAll="0" sortType="descending">
      <items count="6">
        <item x="3"/>
        <item x="0"/>
        <item x="2"/>
        <item x="4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</pivotFields>
  <rowFields count="1">
    <field x="3"/>
  </rowFields>
  <rowItems count="6">
    <i>
      <x v="2"/>
    </i>
    <i>
      <x v="1"/>
    </i>
    <i>
      <x v="4"/>
    </i>
    <i>
      <x v="3"/>
    </i>
    <i>
      <x/>
    </i>
    <i t="grand">
      <x/>
    </i>
  </rowItems>
  <colItems count="1">
    <i/>
  </colItems>
  <dataFields count="1">
    <dataField name="Suma de Total" fld="6" baseField="0" baseItem="0" numFmtId="164"/>
  </dataFields>
  <formats count="13">
    <format dxfId="26">
      <pivotArea outline="0" collapsedLevelsAreSubtotals="1" fieldPosition="0"/>
    </format>
    <format dxfId="25">
      <pivotArea field="3" type="button" dataOnly="0" labelOnly="1" outline="0" axis="axisRow" fieldPosition="0"/>
    </format>
    <format dxfId="24">
      <pivotArea dataOnly="0" labelOnly="1" outline="0" axis="axisValues" fieldPosition="0"/>
    </format>
    <format dxfId="23">
      <pivotArea field="3" type="button" dataOnly="0" labelOnly="1" outline="0" axis="axisRow" fieldPosition="0"/>
    </format>
    <format dxfId="22">
      <pivotArea dataOnly="0" labelOnly="1" outline="0" axis="axisValues" fieldPosition="0"/>
    </format>
    <format dxfId="21">
      <pivotArea field="3" type="button" dataOnly="0" labelOnly="1" outline="0" axis="axisRow" fieldPosition="0"/>
    </format>
    <format dxfId="20">
      <pivotArea dataOnly="0" labelOnly="1" outline="0" axis="axisValues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3" type="button" dataOnly="0" labelOnly="1" outline="0" axis="axisRow" fieldPosition="0"/>
    </format>
    <format dxfId="16">
      <pivotArea dataOnly="0" labelOnly="1" fieldPosition="0">
        <references count="1">
          <reference field="3" count="0"/>
        </references>
      </pivotArea>
    </format>
    <format dxfId="15">
      <pivotArea dataOnly="0" labelOnly="1" grandRow="1" outline="0" fieldPosition="0"/>
    </format>
    <format dxfId="14">
      <pivotArea dataOnly="0" labelOnly="1" outline="0" axis="axisValues" fieldPosition="0"/>
    </format>
  </formats>
  <chartFormats count="1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2D33E7-37DE-4C5A-A64F-36196E28F928}" name="TablaDinámica1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 rowHeaderCaption="Producto">
  <location ref="A4:B10" firstHeaderRow="1" firstDataRow="1" firstDataCol="1"/>
  <pivotFields count="7">
    <pivotField numFmtId="14" showAll="0"/>
    <pivotField axis="axisRow" showAll="0" sortType="descending">
      <items count="6">
        <item x="4"/>
        <item x="0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/>
  </pivotFields>
  <rowFields count="1">
    <field x="1"/>
  </rowFields>
  <rowItems count="6">
    <i>
      <x v="1"/>
    </i>
    <i>
      <x v="2"/>
    </i>
    <i>
      <x/>
    </i>
    <i>
      <x v="4"/>
    </i>
    <i>
      <x v="3"/>
    </i>
    <i t="grand">
      <x/>
    </i>
  </rowItems>
  <colItems count="1">
    <i/>
  </colItems>
  <dataFields count="1">
    <dataField name="Suma de Total" fld="6" baseField="0" baseItem="0" numFmtId="164"/>
  </dataFields>
  <formats count="13">
    <format dxfId="39">
      <pivotArea outline="0" collapsedLevelsAreSubtotals="1" fieldPosition="0"/>
    </format>
    <format dxfId="38">
      <pivotArea field="1" type="button" dataOnly="0" labelOnly="1" outline="0" axis="axisRow" fieldPosition="0"/>
    </format>
    <format dxfId="37">
      <pivotArea dataOnly="0" labelOnly="1" outline="0" axis="axisValues" fieldPosition="0"/>
    </format>
    <format dxfId="36">
      <pivotArea field="1" type="button" dataOnly="0" labelOnly="1" outline="0" axis="axisRow" fieldPosition="0"/>
    </format>
    <format dxfId="35">
      <pivotArea dataOnly="0" labelOnly="1" outline="0" axis="axisValues" fieldPosition="0"/>
    </format>
    <format dxfId="34">
      <pivotArea field="1" type="button" dataOnly="0" labelOnly="1" outline="0" axis="axisRow" fieldPosition="0"/>
    </format>
    <format dxfId="33">
      <pivotArea dataOnly="0" labelOnly="1" outline="0" axis="axisValues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field="1" type="button" dataOnly="0" labelOnly="1" outline="0" axis="axisRow" fieldPosition="0"/>
    </format>
    <format dxfId="29">
      <pivotArea dataOnly="0" labelOnly="1" fieldPosition="0">
        <references count="1">
          <reference field="1" count="0"/>
        </references>
      </pivotArea>
    </format>
    <format dxfId="28">
      <pivotArea dataOnly="0" labelOnly="1" grandRow="1" outline="0" fieldPosition="0"/>
    </format>
    <format dxfId="27">
      <pivotArea dataOnly="0" labelOnly="1" outline="0" axis="axisValues" fieldPosition="0"/>
    </format>
  </formats>
  <chartFormats count="1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iudad" xr10:uid="{898E7170-836A-43BE-8F82-84F753169672}" sourceName="Ciudad">
  <pivotTables>
    <pivotTable tabId="2" name="TablaDinámica2"/>
  </pivotTables>
  <data>
    <tabular pivotCacheId="1173461076">
      <items count="5">
        <i x="3" s="1"/>
        <i x="0" s="1"/>
        <i x="2" s="1"/>
        <i x="4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" xr10:uid="{9DCA1777-6146-49CE-AD3A-F8619F44C4EE}" sourceName="Vendedor">
  <pivotTables>
    <pivotTable tabId="2" name="TablaDinámica3"/>
  </pivotTables>
  <data>
    <tabular pivotCacheId="1173461076">
      <items count="5">
        <i x="1" s="1"/>
        <i x="2" s="1"/>
        <i x="0" s="1"/>
        <i x="3" s="1"/>
        <i x="4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ucto" xr10:uid="{4FA6648B-5E13-4106-8704-6CCF193515B9}" sourceName="Producto">
  <pivotTables>
    <pivotTable tabId="2" name="TablaDinámica1"/>
  </pivotTables>
  <data>
    <tabular pivotCacheId="1173461076">
      <items count="5">
        <i x="4" s="1"/>
        <i x="0" s="1"/>
        <i x="3" s="1"/>
        <i x="1" s="1"/>
        <i x="2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iudad" xr10:uid="{BB4C1DC0-0A86-4ECC-B652-577691B77201}" cache="SegmentaciónDeDatos_Ciudad" caption="Ciudad" columnCount="5" style="SlicerStyleDark4" rowHeight="241300"/>
  <slicer name="Vendedor" xr10:uid="{4AD52770-2B53-4321-BA37-4332BA8E3B87}" cache="SegmentaciónDeDatos_Vendedor" caption="Vendedor" columnCount="5" style="SlicerStyleDark6" rowHeight="241300"/>
  <slicer name="Producto" xr10:uid="{D36F2F3D-B367-46F5-A625-325A4F8D12B8}" cache="SegmentaciónDeDatos_Producto" caption="Producto" columnCount="5" style="SlicerStyleDark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071962-5915-481C-B524-767832D0AB3D}" name="productos" displayName="productos" ref="A1:G91" totalsRowShown="0" headerRowDxfId="51" dataDxfId="49" headerRowBorderDxfId="50" tableBorderDxfId="48" totalsRowBorderDxfId="47">
  <tableColumns count="7">
    <tableColumn id="1" xr3:uid="{E89C6983-184F-4C5C-B79F-7F830ED1E680}" name="Fecha" dataDxfId="46"/>
    <tableColumn id="2" xr3:uid="{25F6F7FF-E8A4-45ED-9D22-994DD8618DE0}" name="Producto" dataDxfId="45"/>
    <tableColumn id="3" xr3:uid="{7CC58D3C-8653-48DF-A375-E89E63E9E7C6}" name="Vendedor" dataDxfId="44"/>
    <tableColumn id="4" xr3:uid="{F51C5764-1BE4-4AB9-887F-44ACEEDE050F}" name="Ciudad" dataDxfId="43"/>
    <tableColumn id="5" xr3:uid="{CA14342D-641A-47F3-8F5B-4871C2ED0D9E}" name="Cantidad" dataDxfId="42"/>
    <tableColumn id="6" xr3:uid="{84C317EE-86A0-4C0B-8A05-6B0581E851F4}" name="Precio" dataDxfId="41"/>
    <tableColumn id="7" xr3:uid="{663A2430-DEBA-4235-AF51-73A4C13A2224}" name="Total" dataDxfId="40">
      <calculatedColumnFormula>E2*F2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</sheetPr>
  <dimension ref="A1:G91"/>
  <sheetViews>
    <sheetView showGridLines="0" workbookViewId="0">
      <selection activeCell="I2" sqref="I2"/>
    </sheetView>
  </sheetViews>
  <sheetFormatPr baseColWidth="10" defaultColWidth="9.140625" defaultRowHeight="15" x14ac:dyDescent="0.25"/>
  <cols>
    <col min="1" max="4" width="18.7109375" customWidth="1"/>
    <col min="5" max="7" width="12.7109375" customWidth="1"/>
  </cols>
  <sheetData>
    <row r="1" spans="1:7" ht="24.95" customHeight="1" x14ac:dyDescent="0.25">
      <c r="A1" s="14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6" t="s">
        <v>21</v>
      </c>
    </row>
    <row r="2" spans="1:7" x14ac:dyDescent="0.25">
      <c r="A2" s="1">
        <v>45658</v>
      </c>
      <c r="B2" s="2" t="s">
        <v>6</v>
      </c>
      <c r="C2" s="2" t="s">
        <v>7</v>
      </c>
      <c r="D2" s="2" t="s">
        <v>8</v>
      </c>
      <c r="E2" s="2">
        <v>2</v>
      </c>
      <c r="F2" s="3">
        <v>1500</v>
      </c>
      <c r="G2" s="4">
        <f>E2*F2</f>
        <v>3000</v>
      </c>
    </row>
    <row r="3" spans="1:7" x14ac:dyDescent="0.25">
      <c r="A3" s="1">
        <v>45659</v>
      </c>
      <c r="B3" s="2" t="s">
        <v>9</v>
      </c>
      <c r="C3" s="2" t="s">
        <v>10</v>
      </c>
      <c r="D3" s="2" t="s">
        <v>11</v>
      </c>
      <c r="E3" s="2">
        <v>5</v>
      </c>
      <c r="F3" s="3">
        <v>20</v>
      </c>
      <c r="G3" s="4">
        <f t="shared" ref="G3:G66" si="0">E3*F3</f>
        <v>100</v>
      </c>
    </row>
    <row r="4" spans="1:7" x14ac:dyDescent="0.25">
      <c r="A4" s="1">
        <v>45660</v>
      </c>
      <c r="B4" s="2" t="s">
        <v>12</v>
      </c>
      <c r="C4" s="2" t="s">
        <v>13</v>
      </c>
      <c r="D4" s="2" t="s">
        <v>14</v>
      </c>
      <c r="E4" s="2">
        <v>3</v>
      </c>
      <c r="F4" s="3">
        <v>45</v>
      </c>
      <c r="G4" s="4">
        <f t="shared" si="0"/>
        <v>135</v>
      </c>
    </row>
    <row r="5" spans="1:7" x14ac:dyDescent="0.25">
      <c r="A5" s="1">
        <v>45661</v>
      </c>
      <c r="B5" s="2" t="s">
        <v>15</v>
      </c>
      <c r="C5" s="2" t="s">
        <v>16</v>
      </c>
      <c r="D5" s="2" t="s">
        <v>17</v>
      </c>
      <c r="E5" s="2">
        <v>1</v>
      </c>
      <c r="F5" s="3">
        <v>300</v>
      </c>
      <c r="G5" s="4">
        <f t="shared" si="0"/>
        <v>300</v>
      </c>
    </row>
    <row r="6" spans="1:7" x14ac:dyDescent="0.25">
      <c r="A6" s="1">
        <v>45662</v>
      </c>
      <c r="B6" s="2" t="s">
        <v>18</v>
      </c>
      <c r="C6" s="2" t="s">
        <v>19</v>
      </c>
      <c r="D6" s="2" t="s">
        <v>20</v>
      </c>
      <c r="E6" s="2">
        <v>2</v>
      </c>
      <c r="F6" s="3">
        <v>250</v>
      </c>
      <c r="G6" s="4">
        <f t="shared" si="0"/>
        <v>500</v>
      </c>
    </row>
    <row r="7" spans="1:7" x14ac:dyDescent="0.25">
      <c r="A7" s="1">
        <v>45663</v>
      </c>
      <c r="B7" s="2" t="s">
        <v>6</v>
      </c>
      <c r="C7" s="2" t="s">
        <v>10</v>
      </c>
      <c r="D7" s="2" t="s">
        <v>8</v>
      </c>
      <c r="E7" s="2">
        <v>1</v>
      </c>
      <c r="F7" s="3">
        <v>1400</v>
      </c>
      <c r="G7" s="4">
        <f t="shared" si="0"/>
        <v>1400</v>
      </c>
    </row>
    <row r="8" spans="1:7" x14ac:dyDescent="0.25">
      <c r="A8" s="1">
        <v>45664</v>
      </c>
      <c r="B8" s="2" t="s">
        <v>9</v>
      </c>
      <c r="C8" s="2" t="s">
        <v>7</v>
      </c>
      <c r="D8" s="2" t="s">
        <v>14</v>
      </c>
      <c r="E8" s="2">
        <v>10</v>
      </c>
      <c r="F8" s="3">
        <v>18</v>
      </c>
      <c r="G8" s="4">
        <f t="shared" si="0"/>
        <v>180</v>
      </c>
    </row>
    <row r="9" spans="1:7" x14ac:dyDescent="0.25">
      <c r="A9" s="1">
        <v>45665</v>
      </c>
      <c r="B9" s="2" t="s">
        <v>12</v>
      </c>
      <c r="C9" s="2" t="s">
        <v>16</v>
      </c>
      <c r="D9" s="2" t="s">
        <v>11</v>
      </c>
      <c r="E9" s="2">
        <v>4</v>
      </c>
      <c r="F9" s="3">
        <v>50</v>
      </c>
      <c r="G9" s="4">
        <f t="shared" si="0"/>
        <v>200</v>
      </c>
    </row>
    <row r="10" spans="1:7" x14ac:dyDescent="0.25">
      <c r="A10" s="1">
        <v>45666</v>
      </c>
      <c r="B10" s="2" t="s">
        <v>15</v>
      </c>
      <c r="C10" s="2" t="s">
        <v>13</v>
      </c>
      <c r="D10" s="2" t="s">
        <v>8</v>
      </c>
      <c r="E10" s="2">
        <v>5</v>
      </c>
      <c r="F10" s="3">
        <v>320</v>
      </c>
      <c r="G10" s="4">
        <f t="shared" si="0"/>
        <v>1600</v>
      </c>
    </row>
    <row r="11" spans="1:7" x14ac:dyDescent="0.25">
      <c r="A11" s="1">
        <v>45667</v>
      </c>
      <c r="B11" s="2" t="s">
        <v>18</v>
      </c>
      <c r="C11" s="2" t="s">
        <v>19</v>
      </c>
      <c r="D11" s="2" t="s">
        <v>14</v>
      </c>
      <c r="E11" s="2">
        <v>1</v>
      </c>
      <c r="F11" s="3">
        <v>260</v>
      </c>
      <c r="G11" s="4">
        <f t="shared" si="0"/>
        <v>260</v>
      </c>
    </row>
    <row r="12" spans="1:7" x14ac:dyDescent="0.25">
      <c r="A12" s="1">
        <v>45668</v>
      </c>
      <c r="B12" s="2" t="s">
        <v>6</v>
      </c>
      <c r="C12" s="2" t="s">
        <v>7</v>
      </c>
      <c r="D12" s="2" t="s">
        <v>11</v>
      </c>
      <c r="E12" s="2">
        <v>8</v>
      </c>
      <c r="F12" s="3">
        <v>1550</v>
      </c>
      <c r="G12" s="4">
        <f t="shared" si="0"/>
        <v>12400</v>
      </c>
    </row>
    <row r="13" spans="1:7" x14ac:dyDescent="0.25">
      <c r="A13" s="1">
        <v>45669</v>
      </c>
      <c r="B13" s="2" t="s">
        <v>9</v>
      </c>
      <c r="C13" s="2" t="s">
        <v>10</v>
      </c>
      <c r="D13" s="2" t="s">
        <v>17</v>
      </c>
      <c r="E13" s="2">
        <v>6</v>
      </c>
      <c r="F13" s="3">
        <v>22</v>
      </c>
      <c r="G13" s="4">
        <f t="shared" si="0"/>
        <v>132</v>
      </c>
    </row>
    <row r="14" spans="1:7" x14ac:dyDescent="0.25">
      <c r="A14" s="1">
        <v>45670</v>
      </c>
      <c r="B14" s="2" t="s">
        <v>12</v>
      </c>
      <c r="C14" s="2" t="s">
        <v>13</v>
      </c>
      <c r="D14" s="2" t="s">
        <v>20</v>
      </c>
      <c r="E14" s="2">
        <v>5</v>
      </c>
      <c r="F14" s="3">
        <v>42</v>
      </c>
      <c r="G14" s="4">
        <f t="shared" si="0"/>
        <v>210</v>
      </c>
    </row>
    <row r="15" spans="1:7" x14ac:dyDescent="0.25">
      <c r="A15" s="1">
        <v>45671</v>
      </c>
      <c r="B15" s="2" t="s">
        <v>15</v>
      </c>
      <c r="C15" s="2" t="s">
        <v>16</v>
      </c>
      <c r="D15" s="2" t="s">
        <v>14</v>
      </c>
      <c r="E15" s="2">
        <v>3</v>
      </c>
      <c r="F15" s="3">
        <v>310</v>
      </c>
      <c r="G15" s="4">
        <f t="shared" si="0"/>
        <v>930</v>
      </c>
    </row>
    <row r="16" spans="1:7" x14ac:dyDescent="0.25">
      <c r="A16" s="1">
        <v>45672</v>
      </c>
      <c r="B16" s="2" t="s">
        <v>18</v>
      </c>
      <c r="C16" s="2" t="s">
        <v>19</v>
      </c>
      <c r="D16" s="2" t="s">
        <v>8</v>
      </c>
      <c r="E16" s="2">
        <v>1</v>
      </c>
      <c r="F16" s="3">
        <v>255</v>
      </c>
      <c r="G16" s="4">
        <f t="shared" si="0"/>
        <v>255</v>
      </c>
    </row>
    <row r="17" spans="1:7" x14ac:dyDescent="0.25">
      <c r="A17" s="1">
        <v>45673</v>
      </c>
      <c r="B17" s="2" t="s">
        <v>6</v>
      </c>
      <c r="C17" s="2" t="s">
        <v>10</v>
      </c>
      <c r="D17" s="2" t="s">
        <v>14</v>
      </c>
      <c r="E17" s="2">
        <v>2</v>
      </c>
      <c r="F17" s="3">
        <v>1450</v>
      </c>
      <c r="G17" s="4">
        <f t="shared" si="0"/>
        <v>2900</v>
      </c>
    </row>
    <row r="18" spans="1:7" x14ac:dyDescent="0.25">
      <c r="A18" s="1">
        <v>45674</v>
      </c>
      <c r="B18" s="2" t="s">
        <v>9</v>
      </c>
      <c r="C18" s="2" t="s">
        <v>7</v>
      </c>
      <c r="D18" s="2" t="s">
        <v>8</v>
      </c>
      <c r="E18" s="2">
        <v>8</v>
      </c>
      <c r="F18" s="3">
        <v>19</v>
      </c>
      <c r="G18" s="4">
        <f t="shared" si="0"/>
        <v>152</v>
      </c>
    </row>
    <row r="19" spans="1:7" x14ac:dyDescent="0.25">
      <c r="A19" s="1">
        <v>45675</v>
      </c>
      <c r="B19" s="2" t="s">
        <v>12</v>
      </c>
      <c r="C19" s="2" t="s">
        <v>16</v>
      </c>
      <c r="D19" s="2" t="s">
        <v>11</v>
      </c>
      <c r="E19" s="2">
        <v>5</v>
      </c>
      <c r="F19" s="3">
        <v>47</v>
      </c>
      <c r="G19" s="4">
        <f t="shared" si="0"/>
        <v>235</v>
      </c>
    </row>
    <row r="20" spans="1:7" x14ac:dyDescent="0.25">
      <c r="A20" s="1">
        <v>45676</v>
      </c>
      <c r="B20" s="2" t="s">
        <v>15</v>
      </c>
      <c r="C20" s="2" t="s">
        <v>13</v>
      </c>
      <c r="D20" s="2" t="s">
        <v>17</v>
      </c>
      <c r="E20" s="2">
        <v>1</v>
      </c>
      <c r="F20" s="3">
        <v>330</v>
      </c>
      <c r="G20" s="4">
        <f t="shared" si="0"/>
        <v>330</v>
      </c>
    </row>
    <row r="21" spans="1:7" x14ac:dyDescent="0.25">
      <c r="A21" s="1">
        <v>45677</v>
      </c>
      <c r="B21" s="2" t="s">
        <v>18</v>
      </c>
      <c r="C21" s="2" t="s">
        <v>19</v>
      </c>
      <c r="D21" s="2" t="s">
        <v>20</v>
      </c>
      <c r="E21" s="2">
        <v>2</v>
      </c>
      <c r="F21" s="3">
        <v>270</v>
      </c>
      <c r="G21" s="4">
        <f t="shared" si="0"/>
        <v>540</v>
      </c>
    </row>
    <row r="22" spans="1:7" x14ac:dyDescent="0.25">
      <c r="A22" s="1">
        <v>45678</v>
      </c>
      <c r="B22" s="2" t="s">
        <v>6</v>
      </c>
      <c r="C22" s="2" t="s">
        <v>7</v>
      </c>
      <c r="D22" s="2" t="s">
        <v>14</v>
      </c>
      <c r="E22" s="2">
        <v>1</v>
      </c>
      <c r="F22" s="3">
        <v>1500</v>
      </c>
      <c r="G22" s="4">
        <f t="shared" si="0"/>
        <v>1500</v>
      </c>
    </row>
    <row r="23" spans="1:7" x14ac:dyDescent="0.25">
      <c r="A23" s="1">
        <v>45679</v>
      </c>
      <c r="B23" s="2" t="s">
        <v>9</v>
      </c>
      <c r="C23" s="2" t="s">
        <v>10</v>
      </c>
      <c r="D23" s="2" t="s">
        <v>8</v>
      </c>
      <c r="E23" s="2">
        <v>12</v>
      </c>
      <c r="F23" s="3">
        <v>21</v>
      </c>
      <c r="G23" s="4">
        <f t="shared" si="0"/>
        <v>252</v>
      </c>
    </row>
    <row r="24" spans="1:7" x14ac:dyDescent="0.25">
      <c r="A24" s="1">
        <v>45680</v>
      </c>
      <c r="B24" s="2" t="s">
        <v>12</v>
      </c>
      <c r="C24" s="2" t="s">
        <v>13</v>
      </c>
      <c r="D24" s="2" t="s">
        <v>11</v>
      </c>
      <c r="E24" s="2">
        <v>3</v>
      </c>
      <c r="F24" s="3">
        <v>49</v>
      </c>
      <c r="G24" s="4">
        <f t="shared" si="0"/>
        <v>147</v>
      </c>
    </row>
    <row r="25" spans="1:7" x14ac:dyDescent="0.25">
      <c r="A25" s="1">
        <v>45681</v>
      </c>
      <c r="B25" s="2" t="s">
        <v>15</v>
      </c>
      <c r="C25" s="2" t="s">
        <v>16</v>
      </c>
      <c r="D25" s="2" t="s">
        <v>20</v>
      </c>
      <c r="E25" s="2">
        <v>2</v>
      </c>
      <c r="F25" s="3">
        <v>305</v>
      </c>
      <c r="G25" s="4">
        <f t="shared" si="0"/>
        <v>610</v>
      </c>
    </row>
    <row r="26" spans="1:7" x14ac:dyDescent="0.25">
      <c r="A26" s="1">
        <v>45682</v>
      </c>
      <c r="B26" s="2" t="s">
        <v>18</v>
      </c>
      <c r="C26" s="2" t="s">
        <v>19</v>
      </c>
      <c r="D26" s="2" t="s">
        <v>17</v>
      </c>
      <c r="E26" s="2">
        <v>1</v>
      </c>
      <c r="F26" s="3">
        <v>265</v>
      </c>
      <c r="G26" s="4">
        <f t="shared" si="0"/>
        <v>265</v>
      </c>
    </row>
    <row r="27" spans="1:7" x14ac:dyDescent="0.25">
      <c r="A27" s="1">
        <v>45683</v>
      </c>
      <c r="B27" s="2" t="s">
        <v>6</v>
      </c>
      <c r="C27" s="2" t="s">
        <v>10</v>
      </c>
      <c r="D27" s="2" t="s">
        <v>8</v>
      </c>
      <c r="E27" s="2">
        <v>2</v>
      </c>
      <c r="F27" s="3">
        <v>1500</v>
      </c>
      <c r="G27" s="4">
        <f t="shared" si="0"/>
        <v>3000</v>
      </c>
    </row>
    <row r="28" spans="1:7" x14ac:dyDescent="0.25">
      <c r="A28" s="1">
        <v>45684</v>
      </c>
      <c r="B28" s="2" t="s">
        <v>9</v>
      </c>
      <c r="C28" s="2" t="s">
        <v>7</v>
      </c>
      <c r="D28" s="2" t="s">
        <v>14</v>
      </c>
      <c r="E28" s="2">
        <v>9</v>
      </c>
      <c r="F28" s="3">
        <v>20</v>
      </c>
      <c r="G28" s="4">
        <f t="shared" si="0"/>
        <v>180</v>
      </c>
    </row>
    <row r="29" spans="1:7" x14ac:dyDescent="0.25">
      <c r="A29" s="1">
        <v>45685</v>
      </c>
      <c r="B29" s="2" t="s">
        <v>12</v>
      </c>
      <c r="C29" s="2" t="s">
        <v>16</v>
      </c>
      <c r="D29" s="2" t="s">
        <v>11</v>
      </c>
      <c r="E29" s="2">
        <v>8</v>
      </c>
      <c r="F29" s="3">
        <v>46</v>
      </c>
      <c r="G29" s="4">
        <f t="shared" si="0"/>
        <v>368</v>
      </c>
    </row>
    <row r="30" spans="1:7" x14ac:dyDescent="0.25">
      <c r="A30" s="1">
        <v>45686</v>
      </c>
      <c r="B30" s="2" t="s">
        <v>15</v>
      </c>
      <c r="C30" s="2" t="s">
        <v>13</v>
      </c>
      <c r="D30" s="2" t="s">
        <v>8</v>
      </c>
      <c r="E30" s="2">
        <v>2</v>
      </c>
      <c r="F30" s="3">
        <v>315</v>
      </c>
      <c r="G30" s="4">
        <f t="shared" si="0"/>
        <v>630</v>
      </c>
    </row>
    <row r="31" spans="1:7" x14ac:dyDescent="0.25">
      <c r="A31" s="1">
        <v>45687</v>
      </c>
      <c r="B31" s="2" t="s">
        <v>18</v>
      </c>
      <c r="C31" s="2" t="s">
        <v>19</v>
      </c>
      <c r="D31" s="2" t="s">
        <v>14</v>
      </c>
      <c r="E31" s="2">
        <v>1</v>
      </c>
      <c r="F31" s="3">
        <v>250</v>
      </c>
      <c r="G31" s="4">
        <f t="shared" si="0"/>
        <v>250</v>
      </c>
    </row>
    <row r="32" spans="1:7" x14ac:dyDescent="0.25">
      <c r="A32" s="1">
        <v>45688</v>
      </c>
      <c r="B32" s="2" t="s">
        <v>6</v>
      </c>
      <c r="C32" s="2" t="s">
        <v>7</v>
      </c>
      <c r="D32" s="2" t="s">
        <v>11</v>
      </c>
      <c r="E32" s="2">
        <v>1</v>
      </c>
      <c r="F32" s="3">
        <v>1580</v>
      </c>
      <c r="G32" s="4">
        <f t="shared" si="0"/>
        <v>1580</v>
      </c>
    </row>
    <row r="33" spans="1:7" x14ac:dyDescent="0.25">
      <c r="A33" s="1">
        <v>45689</v>
      </c>
      <c r="B33" s="2" t="s">
        <v>9</v>
      </c>
      <c r="C33" s="2" t="s">
        <v>10</v>
      </c>
      <c r="D33" s="2" t="s">
        <v>17</v>
      </c>
      <c r="E33" s="2">
        <v>5</v>
      </c>
      <c r="F33" s="3">
        <v>23</v>
      </c>
      <c r="G33" s="4">
        <f t="shared" si="0"/>
        <v>115</v>
      </c>
    </row>
    <row r="34" spans="1:7" x14ac:dyDescent="0.25">
      <c r="A34" s="1">
        <v>45690</v>
      </c>
      <c r="B34" s="2" t="s">
        <v>12</v>
      </c>
      <c r="C34" s="2" t="s">
        <v>13</v>
      </c>
      <c r="D34" s="2" t="s">
        <v>20</v>
      </c>
      <c r="E34" s="2">
        <v>2</v>
      </c>
      <c r="F34" s="3">
        <v>44</v>
      </c>
      <c r="G34" s="4">
        <f t="shared" si="0"/>
        <v>88</v>
      </c>
    </row>
    <row r="35" spans="1:7" x14ac:dyDescent="0.25">
      <c r="A35" s="1">
        <v>45691</v>
      </c>
      <c r="B35" s="2" t="s">
        <v>15</v>
      </c>
      <c r="C35" s="2" t="s">
        <v>16</v>
      </c>
      <c r="D35" s="2" t="s">
        <v>14</v>
      </c>
      <c r="E35" s="2">
        <v>10</v>
      </c>
      <c r="F35" s="3">
        <v>300</v>
      </c>
      <c r="G35" s="4">
        <f t="shared" si="0"/>
        <v>3000</v>
      </c>
    </row>
    <row r="36" spans="1:7" x14ac:dyDescent="0.25">
      <c r="A36" s="1">
        <v>45692</v>
      </c>
      <c r="B36" s="2" t="s">
        <v>18</v>
      </c>
      <c r="C36" s="2" t="s">
        <v>19</v>
      </c>
      <c r="D36" s="2" t="s">
        <v>8</v>
      </c>
      <c r="E36" s="2">
        <v>1</v>
      </c>
      <c r="F36" s="3">
        <v>260</v>
      </c>
      <c r="G36" s="4">
        <f t="shared" si="0"/>
        <v>260</v>
      </c>
    </row>
    <row r="37" spans="1:7" x14ac:dyDescent="0.25">
      <c r="A37" s="1">
        <v>45693</v>
      </c>
      <c r="B37" s="2" t="s">
        <v>6</v>
      </c>
      <c r="C37" s="2" t="s">
        <v>10</v>
      </c>
      <c r="D37" s="2" t="s">
        <v>14</v>
      </c>
      <c r="E37" s="2">
        <v>2</v>
      </c>
      <c r="F37" s="3">
        <v>1490</v>
      </c>
      <c r="G37" s="4">
        <f t="shared" si="0"/>
        <v>2980</v>
      </c>
    </row>
    <row r="38" spans="1:7" x14ac:dyDescent="0.25">
      <c r="A38" s="1">
        <v>45694</v>
      </c>
      <c r="B38" s="2" t="s">
        <v>9</v>
      </c>
      <c r="C38" s="2" t="s">
        <v>7</v>
      </c>
      <c r="D38" s="2" t="s">
        <v>8</v>
      </c>
      <c r="E38" s="2">
        <v>8</v>
      </c>
      <c r="F38" s="3">
        <v>18</v>
      </c>
      <c r="G38" s="4">
        <f t="shared" si="0"/>
        <v>144</v>
      </c>
    </row>
    <row r="39" spans="1:7" x14ac:dyDescent="0.25">
      <c r="A39" s="1">
        <v>45695</v>
      </c>
      <c r="B39" s="2" t="s">
        <v>12</v>
      </c>
      <c r="C39" s="2" t="s">
        <v>16</v>
      </c>
      <c r="D39" s="2" t="s">
        <v>11</v>
      </c>
      <c r="E39" s="2">
        <v>5</v>
      </c>
      <c r="F39" s="3">
        <v>45</v>
      </c>
      <c r="G39" s="4">
        <f t="shared" si="0"/>
        <v>225</v>
      </c>
    </row>
    <row r="40" spans="1:7" x14ac:dyDescent="0.25">
      <c r="A40" s="1">
        <v>45696</v>
      </c>
      <c r="B40" s="2" t="s">
        <v>15</v>
      </c>
      <c r="C40" s="2" t="s">
        <v>13</v>
      </c>
      <c r="D40" s="2" t="s">
        <v>17</v>
      </c>
      <c r="E40" s="2">
        <v>1</v>
      </c>
      <c r="F40" s="3">
        <v>335</v>
      </c>
      <c r="G40" s="4">
        <f t="shared" si="0"/>
        <v>335</v>
      </c>
    </row>
    <row r="41" spans="1:7" x14ac:dyDescent="0.25">
      <c r="A41" s="1">
        <v>45697</v>
      </c>
      <c r="B41" s="2" t="s">
        <v>18</v>
      </c>
      <c r="C41" s="2" t="s">
        <v>19</v>
      </c>
      <c r="D41" s="2" t="s">
        <v>20</v>
      </c>
      <c r="E41" s="2">
        <v>2</v>
      </c>
      <c r="F41" s="3">
        <v>275</v>
      </c>
      <c r="G41" s="4">
        <f t="shared" si="0"/>
        <v>550</v>
      </c>
    </row>
    <row r="42" spans="1:7" x14ac:dyDescent="0.25">
      <c r="A42" s="1">
        <v>45698</v>
      </c>
      <c r="B42" s="2" t="s">
        <v>6</v>
      </c>
      <c r="C42" s="2" t="s">
        <v>7</v>
      </c>
      <c r="D42" s="2" t="s">
        <v>14</v>
      </c>
      <c r="E42" s="2">
        <v>1</v>
      </c>
      <c r="F42" s="3">
        <v>1510</v>
      </c>
      <c r="G42" s="4">
        <f t="shared" si="0"/>
        <v>1510</v>
      </c>
    </row>
    <row r="43" spans="1:7" x14ac:dyDescent="0.25">
      <c r="A43" s="1">
        <v>45699</v>
      </c>
      <c r="B43" s="2" t="s">
        <v>9</v>
      </c>
      <c r="C43" s="2" t="s">
        <v>10</v>
      </c>
      <c r="D43" s="2" t="s">
        <v>8</v>
      </c>
      <c r="E43" s="2">
        <v>6</v>
      </c>
      <c r="F43" s="3">
        <v>22</v>
      </c>
      <c r="G43" s="4">
        <f t="shared" si="0"/>
        <v>132</v>
      </c>
    </row>
    <row r="44" spans="1:7" x14ac:dyDescent="0.25">
      <c r="A44" s="1">
        <v>45700</v>
      </c>
      <c r="B44" s="2" t="s">
        <v>12</v>
      </c>
      <c r="C44" s="2" t="s">
        <v>13</v>
      </c>
      <c r="D44" s="2" t="s">
        <v>11</v>
      </c>
      <c r="E44" s="2">
        <v>3</v>
      </c>
      <c r="F44" s="3">
        <v>47</v>
      </c>
      <c r="G44" s="4">
        <f t="shared" si="0"/>
        <v>141</v>
      </c>
    </row>
    <row r="45" spans="1:7" x14ac:dyDescent="0.25">
      <c r="A45" s="1">
        <v>45701</v>
      </c>
      <c r="B45" s="2" t="s">
        <v>15</v>
      </c>
      <c r="C45" s="2" t="s">
        <v>16</v>
      </c>
      <c r="D45" s="2" t="s">
        <v>20</v>
      </c>
      <c r="E45" s="2">
        <v>20</v>
      </c>
      <c r="F45" s="3">
        <v>310</v>
      </c>
      <c r="G45" s="4">
        <f t="shared" si="0"/>
        <v>6200</v>
      </c>
    </row>
    <row r="46" spans="1:7" x14ac:dyDescent="0.25">
      <c r="A46" s="1">
        <v>45702</v>
      </c>
      <c r="B46" s="2" t="s">
        <v>18</v>
      </c>
      <c r="C46" s="2" t="s">
        <v>19</v>
      </c>
      <c r="D46" s="2" t="s">
        <v>17</v>
      </c>
      <c r="E46" s="2">
        <v>1</v>
      </c>
      <c r="F46" s="3">
        <v>268</v>
      </c>
      <c r="G46" s="4">
        <f t="shared" si="0"/>
        <v>268</v>
      </c>
    </row>
    <row r="47" spans="1:7" x14ac:dyDescent="0.25">
      <c r="A47" s="1">
        <v>45703</v>
      </c>
      <c r="B47" s="2" t="s">
        <v>6</v>
      </c>
      <c r="C47" s="2" t="s">
        <v>10</v>
      </c>
      <c r="D47" s="2" t="s">
        <v>8</v>
      </c>
      <c r="E47" s="2">
        <v>2</v>
      </c>
      <c r="F47" s="3">
        <v>1500</v>
      </c>
      <c r="G47" s="4">
        <f t="shared" si="0"/>
        <v>3000</v>
      </c>
    </row>
    <row r="48" spans="1:7" x14ac:dyDescent="0.25">
      <c r="A48" s="1">
        <v>45704</v>
      </c>
      <c r="B48" s="2" t="s">
        <v>9</v>
      </c>
      <c r="C48" s="2" t="s">
        <v>7</v>
      </c>
      <c r="D48" s="2" t="s">
        <v>14</v>
      </c>
      <c r="E48" s="2">
        <v>9</v>
      </c>
      <c r="F48" s="3">
        <v>19</v>
      </c>
      <c r="G48" s="4">
        <f t="shared" si="0"/>
        <v>171</v>
      </c>
    </row>
    <row r="49" spans="1:7" x14ac:dyDescent="0.25">
      <c r="A49" s="1">
        <v>45705</v>
      </c>
      <c r="B49" s="2" t="s">
        <v>12</v>
      </c>
      <c r="C49" s="2" t="s">
        <v>16</v>
      </c>
      <c r="D49" s="2" t="s">
        <v>11</v>
      </c>
      <c r="E49" s="2">
        <v>4</v>
      </c>
      <c r="F49" s="3">
        <v>46</v>
      </c>
      <c r="G49" s="4">
        <f t="shared" si="0"/>
        <v>184</v>
      </c>
    </row>
    <row r="50" spans="1:7" x14ac:dyDescent="0.25">
      <c r="A50" s="1">
        <v>45706</v>
      </c>
      <c r="B50" s="2" t="s">
        <v>15</v>
      </c>
      <c r="C50" s="2" t="s">
        <v>13</v>
      </c>
      <c r="D50" s="2" t="s">
        <v>8</v>
      </c>
      <c r="E50" s="2">
        <v>2</v>
      </c>
      <c r="F50" s="3">
        <v>320</v>
      </c>
      <c r="G50" s="4">
        <f t="shared" si="0"/>
        <v>640</v>
      </c>
    </row>
    <row r="51" spans="1:7" x14ac:dyDescent="0.25">
      <c r="A51" s="1">
        <v>45707</v>
      </c>
      <c r="B51" s="2" t="s">
        <v>18</v>
      </c>
      <c r="C51" s="2" t="s">
        <v>19</v>
      </c>
      <c r="D51" s="2" t="s">
        <v>14</v>
      </c>
      <c r="E51" s="2">
        <v>1</v>
      </c>
      <c r="F51" s="3">
        <v>255</v>
      </c>
      <c r="G51" s="4">
        <f t="shared" si="0"/>
        <v>255</v>
      </c>
    </row>
    <row r="52" spans="1:7" x14ac:dyDescent="0.25">
      <c r="A52" s="1">
        <v>45708</v>
      </c>
      <c r="B52" s="2" t="s">
        <v>6</v>
      </c>
      <c r="C52" s="2" t="s">
        <v>7</v>
      </c>
      <c r="D52" s="2" t="s">
        <v>11</v>
      </c>
      <c r="E52" s="2">
        <v>1</v>
      </c>
      <c r="F52" s="3">
        <v>1570</v>
      </c>
      <c r="G52" s="4">
        <f t="shared" si="0"/>
        <v>1570</v>
      </c>
    </row>
    <row r="53" spans="1:7" x14ac:dyDescent="0.25">
      <c r="A53" s="1">
        <v>45709</v>
      </c>
      <c r="B53" s="2" t="s">
        <v>9</v>
      </c>
      <c r="C53" s="2" t="s">
        <v>10</v>
      </c>
      <c r="D53" s="2" t="s">
        <v>17</v>
      </c>
      <c r="E53" s="2">
        <v>5</v>
      </c>
      <c r="F53" s="3">
        <v>21</v>
      </c>
      <c r="G53" s="4">
        <f t="shared" si="0"/>
        <v>105</v>
      </c>
    </row>
    <row r="54" spans="1:7" x14ac:dyDescent="0.25">
      <c r="A54" s="1">
        <v>45710</v>
      </c>
      <c r="B54" s="2" t="s">
        <v>12</v>
      </c>
      <c r="C54" s="2" t="s">
        <v>13</v>
      </c>
      <c r="D54" s="2" t="s">
        <v>20</v>
      </c>
      <c r="E54" s="2">
        <v>2</v>
      </c>
      <c r="F54" s="3">
        <v>48</v>
      </c>
      <c r="G54" s="4">
        <f t="shared" si="0"/>
        <v>96</v>
      </c>
    </row>
    <row r="55" spans="1:7" x14ac:dyDescent="0.25">
      <c r="A55" s="1">
        <v>45711</v>
      </c>
      <c r="B55" s="2" t="s">
        <v>15</v>
      </c>
      <c r="C55" s="2" t="s">
        <v>16</v>
      </c>
      <c r="D55" s="2" t="s">
        <v>14</v>
      </c>
      <c r="E55" s="2">
        <v>8</v>
      </c>
      <c r="F55" s="3">
        <v>305</v>
      </c>
      <c r="G55" s="4">
        <f t="shared" si="0"/>
        <v>2440</v>
      </c>
    </row>
    <row r="56" spans="1:7" x14ac:dyDescent="0.25">
      <c r="A56" s="1">
        <v>45712</v>
      </c>
      <c r="B56" s="2" t="s">
        <v>18</v>
      </c>
      <c r="C56" s="2" t="s">
        <v>19</v>
      </c>
      <c r="D56" s="2" t="s">
        <v>8</v>
      </c>
      <c r="E56" s="2">
        <v>1</v>
      </c>
      <c r="F56" s="3">
        <v>262</v>
      </c>
      <c r="G56" s="4">
        <f t="shared" si="0"/>
        <v>262</v>
      </c>
    </row>
    <row r="57" spans="1:7" x14ac:dyDescent="0.25">
      <c r="A57" s="1">
        <v>45713</v>
      </c>
      <c r="B57" s="2" t="s">
        <v>6</v>
      </c>
      <c r="C57" s="2" t="s">
        <v>10</v>
      </c>
      <c r="D57" s="2" t="s">
        <v>14</v>
      </c>
      <c r="E57" s="2">
        <v>2</v>
      </c>
      <c r="F57" s="3">
        <v>1480</v>
      </c>
      <c r="G57" s="4">
        <f t="shared" si="0"/>
        <v>2960</v>
      </c>
    </row>
    <row r="58" spans="1:7" x14ac:dyDescent="0.25">
      <c r="A58" s="1">
        <v>45714</v>
      </c>
      <c r="B58" s="2" t="s">
        <v>9</v>
      </c>
      <c r="C58" s="2" t="s">
        <v>7</v>
      </c>
      <c r="D58" s="2" t="s">
        <v>8</v>
      </c>
      <c r="E58" s="2">
        <v>7</v>
      </c>
      <c r="F58" s="3">
        <v>20</v>
      </c>
      <c r="G58" s="4">
        <f t="shared" si="0"/>
        <v>140</v>
      </c>
    </row>
    <row r="59" spans="1:7" x14ac:dyDescent="0.25">
      <c r="A59" s="1">
        <v>45715</v>
      </c>
      <c r="B59" s="2" t="s">
        <v>12</v>
      </c>
      <c r="C59" s="2" t="s">
        <v>16</v>
      </c>
      <c r="D59" s="2" t="s">
        <v>11</v>
      </c>
      <c r="E59" s="2">
        <v>5</v>
      </c>
      <c r="F59" s="3">
        <v>45</v>
      </c>
      <c r="G59" s="4">
        <f t="shared" si="0"/>
        <v>225</v>
      </c>
    </row>
    <row r="60" spans="1:7" x14ac:dyDescent="0.25">
      <c r="A60" s="1">
        <v>45716</v>
      </c>
      <c r="B60" s="2" t="s">
        <v>15</v>
      </c>
      <c r="C60" s="2" t="s">
        <v>13</v>
      </c>
      <c r="D60" s="2" t="s">
        <v>17</v>
      </c>
      <c r="E60" s="2">
        <v>1</v>
      </c>
      <c r="F60" s="3">
        <v>340</v>
      </c>
      <c r="G60" s="4">
        <f t="shared" si="0"/>
        <v>340</v>
      </c>
    </row>
    <row r="61" spans="1:7" x14ac:dyDescent="0.25">
      <c r="A61" s="1">
        <v>45717</v>
      </c>
      <c r="B61" s="2" t="s">
        <v>18</v>
      </c>
      <c r="C61" s="2" t="s">
        <v>19</v>
      </c>
      <c r="D61" s="2" t="s">
        <v>20</v>
      </c>
      <c r="E61" s="2">
        <v>2</v>
      </c>
      <c r="F61" s="3">
        <v>278</v>
      </c>
      <c r="G61" s="4">
        <f t="shared" si="0"/>
        <v>556</v>
      </c>
    </row>
    <row r="62" spans="1:7" x14ac:dyDescent="0.25">
      <c r="A62" s="1">
        <v>45718</v>
      </c>
      <c r="B62" s="2" t="s">
        <v>6</v>
      </c>
      <c r="C62" s="2" t="s">
        <v>7</v>
      </c>
      <c r="D62" s="2" t="s">
        <v>14</v>
      </c>
      <c r="E62" s="2">
        <v>1</v>
      </c>
      <c r="F62" s="3">
        <v>1530</v>
      </c>
      <c r="G62" s="4">
        <f t="shared" si="0"/>
        <v>1530</v>
      </c>
    </row>
    <row r="63" spans="1:7" x14ac:dyDescent="0.25">
      <c r="A63" s="1">
        <v>45719</v>
      </c>
      <c r="B63" s="2" t="s">
        <v>9</v>
      </c>
      <c r="C63" s="2" t="s">
        <v>10</v>
      </c>
      <c r="D63" s="2" t="s">
        <v>8</v>
      </c>
      <c r="E63" s="2">
        <v>6</v>
      </c>
      <c r="F63" s="3">
        <v>22</v>
      </c>
      <c r="G63" s="4">
        <f t="shared" si="0"/>
        <v>132</v>
      </c>
    </row>
    <row r="64" spans="1:7" x14ac:dyDescent="0.25">
      <c r="A64" s="1">
        <v>45720</v>
      </c>
      <c r="B64" s="2" t="s">
        <v>12</v>
      </c>
      <c r="C64" s="2" t="s">
        <v>13</v>
      </c>
      <c r="D64" s="2" t="s">
        <v>11</v>
      </c>
      <c r="E64" s="2">
        <v>3</v>
      </c>
      <c r="F64" s="3">
        <v>47</v>
      </c>
      <c r="G64" s="4">
        <f t="shared" si="0"/>
        <v>141</v>
      </c>
    </row>
    <row r="65" spans="1:7" x14ac:dyDescent="0.25">
      <c r="A65" s="1">
        <v>45721</v>
      </c>
      <c r="B65" s="2" t="s">
        <v>15</v>
      </c>
      <c r="C65" s="2" t="s">
        <v>16</v>
      </c>
      <c r="D65" s="2" t="s">
        <v>20</v>
      </c>
      <c r="E65" s="2">
        <v>10</v>
      </c>
      <c r="F65" s="3">
        <v>312</v>
      </c>
      <c r="G65" s="4">
        <f t="shared" si="0"/>
        <v>3120</v>
      </c>
    </row>
    <row r="66" spans="1:7" x14ac:dyDescent="0.25">
      <c r="A66" s="1">
        <v>45722</v>
      </c>
      <c r="B66" s="2" t="s">
        <v>18</v>
      </c>
      <c r="C66" s="2" t="s">
        <v>19</v>
      </c>
      <c r="D66" s="2" t="s">
        <v>17</v>
      </c>
      <c r="E66" s="2">
        <v>1</v>
      </c>
      <c r="F66" s="3">
        <v>269</v>
      </c>
      <c r="G66" s="4">
        <f t="shared" si="0"/>
        <v>269</v>
      </c>
    </row>
    <row r="67" spans="1:7" x14ac:dyDescent="0.25">
      <c r="A67" s="1">
        <v>45723</v>
      </c>
      <c r="B67" s="2" t="s">
        <v>6</v>
      </c>
      <c r="C67" s="2" t="s">
        <v>10</v>
      </c>
      <c r="D67" s="2" t="s">
        <v>8</v>
      </c>
      <c r="E67" s="2">
        <v>2</v>
      </c>
      <c r="F67" s="3">
        <v>1500</v>
      </c>
      <c r="G67" s="4">
        <f t="shared" ref="G67:G91" si="1">E67*F67</f>
        <v>3000</v>
      </c>
    </row>
    <row r="68" spans="1:7" x14ac:dyDescent="0.25">
      <c r="A68" s="1">
        <v>45724</v>
      </c>
      <c r="B68" s="2" t="s">
        <v>9</v>
      </c>
      <c r="C68" s="2" t="s">
        <v>7</v>
      </c>
      <c r="D68" s="2" t="s">
        <v>14</v>
      </c>
      <c r="E68" s="2">
        <v>8</v>
      </c>
      <c r="F68" s="3">
        <v>19</v>
      </c>
      <c r="G68" s="4">
        <f t="shared" si="1"/>
        <v>152</v>
      </c>
    </row>
    <row r="69" spans="1:7" x14ac:dyDescent="0.25">
      <c r="A69" s="1">
        <v>45725</v>
      </c>
      <c r="B69" s="2" t="s">
        <v>12</v>
      </c>
      <c r="C69" s="2" t="s">
        <v>16</v>
      </c>
      <c r="D69" s="2" t="s">
        <v>11</v>
      </c>
      <c r="E69" s="2">
        <v>8</v>
      </c>
      <c r="F69" s="3">
        <v>46</v>
      </c>
      <c r="G69" s="4">
        <f t="shared" si="1"/>
        <v>368</v>
      </c>
    </row>
    <row r="70" spans="1:7" x14ac:dyDescent="0.25">
      <c r="A70" s="1">
        <v>45726</v>
      </c>
      <c r="B70" s="2" t="s">
        <v>15</v>
      </c>
      <c r="C70" s="2" t="s">
        <v>13</v>
      </c>
      <c r="D70" s="2" t="s">
        <v>8</v>
      </c>
      <c r="E70" s="2">
        <v>2</v>
      </c>
      <c r="F70" s="3">
        <v>325</v>
      </c>
      <c r="G70" s="4">
        <f t="shared" si="1"/>
        <v>650</v>
      </c>
    </row>
    <row r="71" spans="1:7" x14ac:dyDescent="0.25">
      <c r="A71" s="1">
        <v>45727</v>
      </c>
      <c r="B71" s="2" t="s">
        <v>18</v>
      </c>
      <c r="C71" s="2" t="s">
        <v>19</v>
      </c>
      <c r="D71" s="2" t="s">
        <v>14</v>
      </c>
      <c r="E71" s="2">
        <v>1</v>
      </c>
      <c r="F71" s="3">
        <v>257</v>
      </c>
      <c r="G71" s="4">
        <f t="shared" si="1"/>
        <v>257</v>
      </c>
    </row>
    <row r="72" spans="1:7" x14ac:dyDescent="0.25">
      <c r="A72" s="1">
        <v>45728</v>
      </c>
      <c r="B72" s="2" t="s">
        <v>6</v>
      </c>
      <c r="C72" s="2" t="s">
        <v>7</v>
      </c>
      <c r="D72" s="2" t="s">
        <v>11</v>
      </c>
      <c r="E72" s="2">
        <v>1</v>
      </c>
      <c r="F72" s="3">
        <v>1590</v>
      </c>
      <c r="G72" s="4">
        <f t="shared" si="1"/>
        <v>1590</v>
      </c>
    </row>
    <row r="73" spans="1:7" x14ac:dyDescent="0.25">
      <c r="A73" s="1">
        <v>45729</v>
      </c>
      <c r="B73" s="2" t="s">
        <v>9</v>
      </c>
      <c r="C73" s="2" t="s">
        <v>10</v>
      </c>
      <c r="D73" s="2" t="s">
        <v>17</v>
      </c>
      <c r="E73" s="2">
        <v>5</v>
      </c>
      <c r="F73" s="3">
        <v>23</v>
      </c>
      <c r="G73" s="4">
        <f t="shared" si="1"/>
        <v>115</v>
      </c>
    </row>
    <row r="74" spans="1:7" x14ac:dyDescent="0.25">
      <c r="A74" s="1">
        <v>45730</v>
      </c>
      <c r="B74" s="2" t="s">
        <v>12</v>
      </c>
      <c r="C74" s="2" t="s">
        <v>13</v>
      </c>
      <c r="D74" s="2" t="s">
        <v>20</v>
      </c>
      <c r="E74" s="2">
        <v>2</v>
      </c>
      <c r="F74" s="3">
        <v>49</v>
      </c>
      <c r="G74" s="4">
        <f t="shared" si="1"/>
        <v>98</v>
      </c>
    </row>
    <row r="75" spans="1:7" x14ac:dyDescent="0.25">
      <c r="A75" s="1">
        <v>45731</v>
      </c>
      <c r="B75" s="2" t="s">
        <v>15</v>
      </c>
      <c r="C75" s="2" t="s">
        <v>16</v>
      </c>
      <c r="D75" s="2" t="s">
        <v>14</v>
      </c>
      <c r="E75" s="2">
        <v>3</v>
      </c>
      <c r="F75" s="3">
        <v>308</v>
      </c>
      <c r="G75" s="4">
        <f t="shared" si="1"/>
        <v>924</v>
      </c>
    </row>
    <row r="76" spans="1:7" x14ac:dyDescent="0.25">
      <c r="A76" s="1">
        <v>45732</v>
      </c>
      <c r="B76" s="2" t="s">
        <v>18</v>
      </c>
      <c r="C76" s="2" t="s">
        <v>19</v>
      </c>
      <c r="D76" s="2" t="s">
        <v>8</v>
      </c>
      <c r="E76" s="2">
        <v>1</v>
      </c>
      <c r="F76" s="3">
        <v>265</v>
      </c>
      <c r="G76" s="4">
        <f t="shared" si="1"/>
        <v>265</v>
      </c>
    </row>
    <row r="77" spans="1:7" x14ac:dyDescent="0.25">
      <c r="A77" s="1">
        <v>45733</v>
      </c>
      <c r="B77" s="2" t="s">
        <v>6</v>
      </c>
      <c r="C77" s="2" t="s">
        <v>10</v>
      </c>
      <c r="D77" s="2" t="s">
        <v>14</v>
      </c>
      <c r="E77" s="2">
        <v>2</v>
      </c>
      <c r="F77" s="3">
        <v>1495</v>
      </c>
      <c r="G77" s="4">
        <f t="shared" si="1"/>
        <v>2990</v>
      </c>
    </row>
    <row r="78" spans="1:7" x14ac:dyDescent="0.25">
      <c r="A78" s="1">
        <v>45734</v>
      </c>
      <c r="B78" s="2" t="s">
        <v>9</v>
      </c>
      <c r="C78" s="2" t="s">
        <v>7</v>
      </c>
      <c r="D78" s="2" t="s">
        <v>8</v>
      </c>
      <c r="E78" s="2">
        <v>7</v>
      </c>
      <c r="F78" s="3">
        <v>20</v>
      </c>
      <c r="G78" s="4">
        <f t="shared" si="1"/>
        <v>140</v>
      </c>
    </row>
    <row r="79" spans="1:7" x14ac:dyDescent="0.25">
      <c r="A79" s="1">
        <v>45735</v>
      </c>
      <c r="B79" s="2" t="s">
        <v>12</v>
      </c>
      <c r="C79" s="2" t="s">
        <v>16</v>
      </c>
      <c r="D79" s="2" t="s">
        <v>11</v>
      </c>
      <c r="E79" s="2">
        <v>5</v>
      </c>
      <c r="F79" s="3">
        <v>45</v>
      </c>
      <c r="G79" s="4">
        <f t="shared" si="1"/>
        <v>225</v>
      </c>
    </row>
    <row r="80" spans="1:7" x14ac:dyDescent="0.25">
      <c r="A80" s="1">
        <v>45736</v>
      </c>
      <c r="B80" s="2" t="s">
        <v>15</v>
      </c>
      <c r="C80" s="2" t="s">
        <v>13</v>
      </c>
      <c r="D80" s="2" t="s">
        <v>17</v>
      </c>
      <c r="E80" s="2">
        <v>1</v>
      </c>
      <c r="F80" s="3">
        <v>338</v>
      </c>
      <c r="G80" s="4">
        <f t="shared" si="1"/>
        <v>338</v>
      </c>
    </row>
    <row r="81" spans="1:7" x14ac:dyDescent="0.25">
      <c r="A81" s="1">
        <v>45737</v>
      </c>
      <c r="B81" s="2" t="s">
        <v>18</v>
      </c>
      <c r="C81" s="2" t="s">
        <v>19</v>
      </c>
      <c r="D81" s="2" t="s">
        <v>20</v>
      </c>
      <c r="E81" s="2">
        <v>2</v>
      </c>
      <c r="F81" s="3">
        <v>280</v>
      </c>
      <c r="G81" s="4">
        <f t="shared" si="1"/>
        <v>560</v>
      </c>
    </row>
    <row r="82" spans="1:7" x14ac:dyDescent="0.25">
      <c r="A82" s="1">
        <v>45738</v>
      </c>
      <c r="B82" s="2" t="s">
        <v>6</v>
      </c>
      <c r="C82" s="2" t="s">
        <v>7</v>
      </c>
      <c r="D82" s="2" t="s">
        <v>14</v>
      </c>
      <c r="E82" s="2">
        <v>1</v>
      </c>
      <c r="F82" s="3">
        <v>1540</v>
      </c>
      <c r="G82" s="4">
        <f t="shared" si="1"/>
        <v>1540</v>
      </c>
    </row>
    <row r="83" spans="1:7" x14ac:dyDescent="0.25">
      <c r="A83" s="1">
        <v>45739</v>
      </c>
      <c r="B83" s="2" t="s">
        <v>9</v>
      </c>
      <c r="C83" s="2" t="s">
        <v>10</v>
      </c>
      <c r="D83" s="2" t="s">
        <v>8</v>
      </c>
      <c r="E83" s="2">
        <v>6</v>
      </c>
      <c r="F83" s="3">
        <v>22</v>
      </c>
      <c r="G83" s="4">
        <f t="shared" si="1"/>
        <v>132</v>
      </c>
    </row>
    <row r="84" spans="1:7" x14ac:dyDescent="0.25">
      <c r="A84" s="1">
        <v>45740</v>
      </c>
      <c r="B84" s="2" t="s">
        <v>12</v>
      </c>
      <c r="C84" s="2" t="s">
        <v>13</v>
      </c>
      <c r="D84" s="2" t="s">
        <v>11</v>
      </c>
      <c r="E84" s="2">
        <v>3</v>
      </c>
      <c r="F84" s="3">
        <v>47</v>
      </c>
      <c r="G84" s="4">
        <f t="shared" si="1"/>
        <v>141</v>
      </c>
    </row>
    <row r="85" spans="1:7" x14ac:dyDescent="0.25">
      <c r="A85" s="1">
        <v>45741</v>
      </c>
      <c r="B85" s="2" t="s">
        <v>15</v>
      </c>
      <c r="C85" s="2" t="s">
        <v>16</v>
      </c>
      <c r="D85" s="2" t="s">
        <v>20</v>
      </c>
      <c r="E85" s="2">
        <v>5</v>
      </c>
      <c r="F85" s="3">
        <v>315</v>
      </c>
      <c r="G85" s="4">
        <f t="shared" si="1"/>
        <v>1575</v>
      </c>
    </row>
    <row r="86" spans="1:7" x14ac:dyDescent="0.25">
      <c r="A86" s="1">
        <v>45742</v>
      </c>
      <c r="B86" s="2" t="s">
        <v>18</v>
      </c>
      <c r="C86" s="2" t="s">
        <v>19</v>
      </c>
      <c r="D86" s="2" t="s">
        <v>17</v>
      </c>
      <c r="E86" s="2">
        <v>1</v>
      </c>
      <c r="F86" s="3">
        <v>270</v>
      </c>
      <c r="G86" s="4">
        <f t="shared" si="1"/>
        <v>270</v>
      </c>
    </row>
    <row r="87" spans="1:7" x14ac:dyDescent="0.25">
      <c r="A87" s="1">
        <v>45743</v>
      </c>
      <c r="B87" s="2" t="s">
        <v>6</v>
      </c>
      <c r="C87" s="2" t="s">
        <v>10</v>
      </c>
      <c r="D87" s="2" t="s">
        <v>8</v>
      </c>
      <c r="E87" s="2">
        <v>2</v>
      </c>
      <c r="F87" s="3">
        <v>1500</v>
      </c>
      <c r="G87" s="4">
        <f t="shared" si="1"/>
        <v>3000</v>
      </c>
    </row>
    <row r="88" spans="1:7" x14ac:dyDescent="0.25">
      <c r="A88" s="1">
        <v>45744</v>
      </c>
      <c r="B88" s="2" t="s">
        <v>9</v>
      </c>
      <c r="C88" s="2" t="s">
        <v>7</v>
      </c>
      <c r="D88" s="2" t="s">
        <v>14</v>
      </c>
      <c r="E88" s="2">
        <v>9</v>
      </c>
      <c r="F88" s="3">
        <v>19</v>
      </c>
      <c r="G88" s="4">
        <f t="shared" si="1"/>
        <v>171</v>
      </c>
    </row>
    <row r="89" spans="1:7" x14ac:dyDescent="0.25">
      <c r="A89" s="1">
        <v>45745</v>
      </c>
      <c r="B89" s="2" t="s">
        <v>12</v>
      </c>
      <c r="C89" s="2" t="s">
        <v>16</v>
      </c>
      <c r="D89" s="2" t="s">
        <v>11</v>
      </c>
      <c r="E89" s="2">
        <v>10</v>
      </c>
      <c r="F89" s="3">
        <v>46</v>
      </c>
      <c r="G89" s="4">
        <f t="shared" si="1"/>
        <v>460</v>
      </c>
    </row>
    <row r="90" spans="1:7" x14ac:dyDescent="0.25">
      <c r="A90" s="1">
        <v>45746</v>
      </c>
      <c r="B90" s="2" t="s">
        <v>15</v>
      </c>
      <c r="C90" s="2" t="s">
        <v>13</v>
      </c>
      <c r="D90" s="2" t="s">
        <v>8</v>
      </c>
      <c r="E90" s="2">
        <v>2</v>
      </c>
      <c r="F90" s="3">
        <v>330</v>
      </c>
      <c r="G90" s="4">
        <f t="shared" si="1"/>
        <v>660</v>
      </c>
    </row>
    <row r="91" spans="1:7" x14ac:dyDescent="0.25">
      <c r="A91" s="5">
        <v>45747</v>
      </c>
      <c r="B91" s="6" t="s">
        <v>18</v>
      </c>
      <c r="C91" s="6" t="s">
        <v>19</v>
      </c>
      <c r="D91" s="6" t="s">
        <v>14</v>
      </c>
      <c r="E91" s="6">
        <v>1</v>
      </c>
      <c r="F91" s="7">
        <v>260</v>
      </c>
      <c r="G91" s="8">
        <f t="shared" si="1"/>
        <v>260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86D75-EFC9-4D3D-88E6-AD4C1C2BC5CA}">
  <sheetPr codeName="Hoja2">
    <tabColor rgb="FFFFC000"/>
  </sheetPr>
  <dimension ref="A2:H10"/>
  <sheetViews>
    <sheetView showGridLines="0" workbookViewId="0">
      <selection activeCell="C6" sqref="C6"/>
    </sheetView>
  </sheetViews>
  <sheetFormatPr baseColWidth="10" defaultRowHeight="15" x14ac:dyDescent="0.25"/>
  <cols>
    <col min="1" max="1" width="23" bestFit="1" customWidth="1"/>
    <col min="2" max="2" width="24.5703125" bestFit="1" customWidth="1"/>
    <col min="4" max="4" width="23" bestFit="1" customWidth="1"/>
    <col min="5" max="5" width="24.5703125" bestFit="1" customWidth="1"/>
    <col min="7" max="7" width="23" bestFit="1" customWidth="1"/>
    <col min="8" max="8" width="24.5703125" bestFit="1" customWidth="1"/>
  </cols>
  <sheetData>
    <row r="2" spans="1:8" ht="24.95" customHeight="1" x14ac:dyDescent="0.25">
      <c r="A2" s="23" t="s">
        <v>24</v>
      </c>
      <c r="B2" s="23"/>
      <c r="D2" s="24" t="s">
        <v>25</v>
      </c>
      <c r="E2" s="24"/>
      <c r="G2" s="25" t="s">
        <v>26</v>
      </c>
      <c r="H2" s="25"/>
    </row>
    <row r="3" spans="1:8" ht="26.25" x14ac:dyDescent="0.4">
      <c r="A3" s="17"/>
      <c r="B3" s="17"/>
      <c r="D3" s="21"/>
      <c r="E3" s="21"/>
      <c r="G3" s="21"/>
      <c r="H3" s="21"/>
    </row>
    <row r="4" spans="1:8" ht="26.25" x14ac:dyDescent="0.25">
      <c r="A4" s="18" t="s">
        <v>1</v>
      </c>
      <c r="B4" s="17" t="s">
        <v>23</v>
      </c>
      <c r="D4" s="18" t="s">
        <v>3</v>
      </c>
      <c r="E4" s="17" t="s">
        <v>23</v>
      </c>
      <c r="G4" s="18" t="s">
        <v>2</v>
      </c>
      <c r="H4" s="17" t="s">
        <v>23</v>
      </c>
    </row>
    <row r="5" spans="1:8" ht="26.25" x14ac:dyDescent="0.4">
      <c r="A5" s="19" t="s">
        <v>6</v>
      </c>
      <c r="B5" s="20">
        <v>51450</v>
      </c>
      <c r="D5" s="19" t="s">
        <v>14</v>
      </c>
      <c r="E5" s="20">
        <v>27475</v>
      </c>
      <c r="G5" s="19" t="s">
        <v>7</v>
      </c>
      <c r="H5" s="20">
        <v>27650</v>
      </c>
    </row>
    <row r="6" spans="1:8" ht="26.25" x14ac:dyDescent="0.4">
      <c r="A6" s="19" t="s">
        <v>15</v>
      </c>
      <c r="B6" s="20">
        <v>24622</v>
      </c>
      <c r="D6" s="19" t="s">
        <v>8</v>
      </c>
      <c r="E6" s="20">
        <v>22846</v>
      </c>
      <c r="G6" s="19" t="s">
        <v>10</v>
      </c>
      <c r="H6" s="20">
        <v>26445</v>
      </c>
    </row>
    <row r="7" spans="1:8" ht="26.25" x14ac:dyDescent="0.4">
      <c r="A7" s="19" t="s">
        <v>18</v>
      </c>
      <c r="B7" s="20">
        <v>6102</v>
      </c>
      <c r="D7" s="19" t="s">
        <v>11</v>
      </c>
      <c r="E7" s="20">
        <v>20300</v>
      </c>
      <c r="G7" s="19" t="s">
        <v>16</v>
      </c>
      <c r="H7" s="20">
        <v>21589</v>
      </c>
    </row>
    <row r="8" spans="1:8" ht="26.25" x14ac:dyDescent="0.4">
      <c r="A8" s="19" t="s">
        <v>12</v>
      </c>
      <c r="B8" s="20">
        <v>3687</v>
      </c>
      <c r="D8" s="19" t="s">
        <v>20</v>
      </c>
      <c r="E8" s="20">
        <v>14703</v>
      </c>
      <c r="G8" s="19" t="s">
        <v>13</v>
      </c>
      <c r="H8" s="20">
        <v>6720</v>
      </c>
    </row>
    <row r="9" spans="1:8" ht="26.25" x14ac:dyDescent="0.4">
      <c r="A9" s="19" t="s">
        <v>9</v>
      </c>
      <c r="B9" s="20">
        <v>2645</v>
      </c>
      <c r="D9" s="19" t="s">
        <v>17</v>
      </c>
      <c r="E9" s="20">
        <v>3182</v>
      </c>
      <c r="G9" s="19" t="s">
        <v>19</v>
      </c>
      <c r="H9" s="20">
        <v>6102</v>
      </c>
    </row>
    <row r="10" spans="1:8" ht="26.25" x14ac:dyDescent="0.4">
      <c r="A10" s="19" t="s">
        <v>22</v>
      </c>
      <c r="B10" s="20">
        <v>88506</v>
      </c>
      <c r="D10" s="19" t="s">
        <v>22</v>
      </c>
      <c r="E10" s="20">
        <v>88506</v>
      </c>
      <c r="G10" s="19" t="s">
        <v>22</v>
      </c>
      <c r="H10" s="20">
        <v>88506</v>
      </c>
    </row>
  </sheetData>
  <mergeCells count="3">
    <mergeCell ref="A2:B2"/>
    <mergeCell ref="D2:E2"/>
    <mergeCell ref="G2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AAC53-8D8F-4D81-8549-C3EA421E421E}">
  <sheetPr codeName="Hoja3">
    <tabColor theme="7" tint="-0.499984740745262"/>
  </sheetPr>
  <dimension ref="A1:Q8"/>
  <sheetViews>
    <sheetView showGridLines="0" tabSelected="1" workbookViewId="0">
      <selection activeCell="D6" sqref="D6"/>
    </sheetView>
  </sheetViews>
  <sheetFormatPr baseColWidth="10" defaultRowHeight="15" x14ac:dyDescent="0.25"/>
  <cols>
    <col min="1" max="1" width="11.42578125" customWidth="1"/>
    <col min="4" max="4" width="13.140625" customWidth="1"/>
    <col min="5" max="6" width="12.7109375" customWidth="1"/>
    <col min="7" max="7" width="15.7109375" customWidth="1"/>
    <col min="8" max="8" width="16.7109375" customWidth="1"/>
    <col min="9" max="9" width="15.7109375" customWidth="1"/>
    <col min="10" max="10" width="16.7109375" customWidth="1"/>
    <col min="11" max="12" width="18.7109375" customWidth="1"/>
    <col min="13" max="13" width="11.42578125" customWidth="1"/>
    <col min="14" max="14" width="10.28515625" customWidth="1"/>
    <col min="15" max="15" width="3" customWidth="1"/>
    <col min="16" max="16" width="1.7109375" hidden="1" customWidth="1"/>
    <col min="17" max="17" width="0.28515625" customWidth="1"/>
  </cols>
  <sheetData>
    <row r="1" spans="1:17" ht="15" customHeight="1" x14ac:dyDescent="0.25">
      <c r="A1" s="22" t="s">
        <v>27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</row>
    <row r="2" spans="1:17" ht="15" customHeight="1" x14ac:dyDescent="0.25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</row>
    <row r="3" spans="1:17" ht="15" customHeight="1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</row>
    <row r="4" spans="1:17" ht="17.25" customHeight="1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</row>
    <row r="8" spans="1:17" ht="35.1" customHeight="1" x14ac:dyDescent="0.25">
      <c r="F8" s="11" t="s">
        <v>30</v>
      </c>
      <c r="G8" s="10">
        <f>GETPIVOTDATA("Total",Analisis!$A$4)</f>
        <v>88506</v>
      </c>
      <c r="H8" s="12" t="s">
        <v>28</v>
      </c>
      <c r="I8" s="9" t="str">
        <f>Analisis!A5</f>
        <v>Laptop</v>
      </c>
      <c r="J8" s="13" t="s">
        <v>29</v>
      </c>
      <c r="K8" s="9" t="str">
        <f>Analisis!G5</f>
        <v>Juan</v>
      </c>
    </row>
  </sheetData>
  <mergeCells count="1">
    <mergeCell ref="A1:Q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ctualizarDashboard">
                <anchor moveWithCells="1" sizeWithCells="1">
                  <from>
                    <xdr:col>0</xdr:col>
                    <xdr:colOff>19050</xdr:colOff>
                    <xdr:row>4</xdr:row>
                    <xdr:rowOff>85725</xdr:rowOff>
                  </from>
                  <to>
                    <xdr:col>2</xdr:col>
                    <xdr:colOff>381000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Analisis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ADMIN_OESTE</dc:creator>
  <cp:lastModifiedBy>ADMIN_OESTE</cp:lastModifiedBy>
  <dcterms:created xsi:type="dcterms:W3CDTF">2015-06-05T18:19:34Z</dcterms:created>
  <dcterms:modified xsi:type="dcterms:W3CDTF">2026-04-20T20:53:58Z</dcterms:modified>
</cp:coreProperties>
</file>